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E:\DATA ANALYTICS PORTFOLIO\RETAIL SALES DASHBOARD\RAW DATA\"/>
    </mc:Choice>
  </mc:AlternateContent>
  <xr:revisionPtr revIDLastSave="0" documentId="13_ncr:1_{1439631A-E29D-4571-8917-426EC887CC2B}" xr6:coauthVersionLast="36" xr6:coauthVersionMax="36" xr10:uidLastSave="{00000000-0000-0000-0000-000000000000}"/>
  <bookViews>
    <workbookView xWindow="0" yWindow="0" windowWidth="24000" windowHeight="9525" firstSheet="6" activeTab="8" xr2:uid="{00000000-000D-0000-FFFF-FFFF00000000}"/>
  </bookViews>
  <sheets>
    <sheet name="Sheet1" sheetId="2" r:id="rId1"/>
    <sheet name="PT_SALES _REGION" sheetId="3" r:id="rId2"/>
    <sheet name="PT_PROFIT_REGION" sheetId="4" r:id="rId3"/>
    <sheet name="PT_SALES_CATEGORY" sheetId="5" r:id="rId4"/>
    <sheet name="PT_PROFIT_CATEGORY " sheetId="16" r:id="rId5"/>
    <sheet name="PT_SALES_PRODUCT" sheetId="7" r:id="rId6"/>
    <sheet name="PT_SALES_SALESPERSON" sheetId="8" r:id="rId7"/>
    <sheet name="MONTHLY SALES TREND" sheetId="9" r:id="rId8"/>
    <sheet name="DASHBOARD" sheetId="12" r:id="rId9"/>
    <sheet name="PROJECT SUMMARY" sheetId="13" r:id="rId10"/>
    <sheet name="RetailSales" sheetId="1" r:id="rId11"/>
  </sheets>
  <definedNames>
    <definedName name="Slicer_Category">#N/A</definedName>
    <definedName name="Slicer_Region">#N/A</definedName>
    <definedName name="Slicer_Salesperson">#N/A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J1002" i="1" l="1"/>
  <c r="F1002" i="1"/>
  <c r="H1002" i="1"/>
</calcChain>
</file>

<file path=xl/sharedStrings.xml><?xml version="1.0" encoding="utf-8"?>
<sst xmlns="http://schemas.openxmlformats.org/spreadsheetml/2006/main" count="4124" uniqueCount="75">
  <si>
    <t>Order ID</t>
  </si>
  <si>
    <t>Order Date</t>
  </si>
  <si>
    <t>Region</t>
  </si>
  <si>
    <t>Category</t>
  </si>
  <si>
    <t>Product</t>
  </si>
  <si>
    <t>Quantity</t>
  </si>
  <si>
    <t>Unit Price</t>
  </si>
  <si>
    <t>Sales</t>
  </si>
  <si>
    <t>Cost</t>
  </si>
  <si>
    <t>Profit</t>
  </si>
  <si>
    <t>Salesperson</t>
  </si>
  <si>
    <t>Mombasa</t>
  </si>
  <si>
    <t>Office Supplies</t>
  </si>
  <si>
    <t>Paper</t>
  </si>
  <si>
    <t>Peter</t>
  </si>
  <si>
    <t>Nairobi</t>
  </si>
  <si>
    <t>Electronics</t>
  </si>
  <si>
    <t>Headphones</t>
  </si>
  <si>
    <t>Amina</t>
  </si>
  <si>
    <t>Eldoret</t>
  </si>
  <si>
    <t>Laptop</t>
  </si>
  <si>
    <t>James</t>
  </si>
  <si>
    <t>Phone</t>
  </si>
  <si>
    <t>Furniture</t>
  </si>
  <si>
    <t>Chair</t>
  </si>
  <si>
    <t>Desk</t>
  </si>
  <si>
    <t>Cabinet</t>
  </si>
  <si>
    <t>Faith</t>
  </si>
  <si>
    <t>Brian</t>
  </si>
  <si>
    <t>Lilian</t>
  </si>
  <si>
    <t>Nakuru</t>
  </si>
  <si>
    <t>Notebook</t>
  </si>
  <si>
    <t>Kisumu</t>
  </si>
  <si>
    <t>Pens</t>
  </si>
  <si>
    <t>Sum of Cost</t>
  </si>
  <si>
    <t>Sum of Profit</t>
  </si>
  <si>
    <t>Row Labels</t>
  </si>
  <si>
    <t>Grand Total</t>
  </si>
  <si>
    <t>Column Labels</t>
  </si>
  <si>
    <t>Total Sum of Cost</t>
  </si>
  <si>
    <t>Total Sum of Profit</t>
  </si>
  <si>
    <t>Sum of Sales</t>
  </si>
  <si>
    <t>Jan</t>
  </si>
  <si>
    <t>Feb</t>
  </si>
  <si>
    <t>Mar</t>
  </si>
  <si>
    <t>Apr</t>
  </si>
  <si>
    <t>May</t>
  </si>
  <si>
    <t>Jun</t>
  </si>
  <si>
    <t>Jul</t>
  </si>
  <si>
    <t>Aug</t>
  </si>
  <si>
    <t>Sep</t>
  </si>
  <si>
    <t>Oct</t>
  </si>
  <si>
    <t>Nov</t>
  </si>
  <si>
    <t>Dec</t>
  </si>
  <si>
    <t>Cell</t>
  </si>
  <si>
    <t>Value</t>
  </si>
  <si>
    <t>KPI</t>
  </si>
  <si>
    <t>Total Sales</t>
  </si>
  <si>
    <t>Total Profit</t>
  </si>
  <si>
    <t>Total Orders</t>
  </si>
  <si>
    <t>Profit Margin</t>
  </si>
  <si>
    <t>Total Quantity Sold</t>
  </si>
  <si>
    <t>Formula</t>
  </si>
  <si>
    <t>18.24M</t>
  </si>
  <si>
    <t>5.22M</t>
  </si>
  <si>
    <t>RETAIL SALES DASHBOARD</t>
  </si>
  <si>
    <t>Interactive Excel Dashboard | Sales Performance Analysis</t>
  </si>
  <si>
    <t>Dashboard created by Faith Maundu | Microsoft Excel | 2026</t>
  </si>
  <si>
    <t>TOTAL SALES</t>
  </si>
  <si>
    <t>KSh 18.24 M</t>
  </si>
  <si>
    <t>KSh 5.22 M</t>
  </si>
  <si>
    <t>TOTAL PROFIT</t>
  </si>
  <si>
    <t>TOTAL ORDERS</t>
  </si>
  <si>
    <t>TOTAL QUANTITY SOLD</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</si>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</sst>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Ksh&quot;* #,##0.00_-;\-&quot;Ksh&quot;* #,##0.00_-;_-&quot;Ksh&quot;* &quot;-&quot;??_-;_-@_-"/>
    <numFmt numFmtId="164" formatCode="yyyy\-mm\-dd\ h:mm:ss"/>
    <numFmt numFmtId="165" formatCode="&quot;Ksh&quot;#,##0.00"/>
  </numFmts>
  <fonts count="8" x14ac:knownFonts="1">
    <font>
      <sz val="11"/>
      <color theme="1"/>
      <name val="Calibri"/>
      <family val="2"/>
      <scheme val="minor"/>
    </font>
    <font>
      <b/>
      <sz val="14"/>
      <color theme="1"/>
      <name val="Times New Roman"/>
      <family val="1"/>
    </font>
    <font>
      <b/>
      <sz val="11"/>
      <color theme="1"/>
      <name val="Calibri"/>
      <family val="2"/>
      <scheme val="minor"/>
    </font>
    <font>
      <b/>
      <sz val="16"/>
      <color theme="1"/>
      <name val="Book Antiqua"/>
      <family val="1"/>
    </font>
    <font>
      <b/>
      <sz val="18"/>
      <color theme="1"/>
      <name val="Book Antiqua"/>
      <family val="1"/>
    </font>
    <font>
      <b/>
      <sz val="26"/>
      <color theme="1"/>
      <name val="Book Antiqua"/>
      <family val="1"/>
    </font>
    <font>
      <b/>
      <sz val="36"/>
      <color theme="1"/>
      <name val="Book Antiqua"/>
      <family val="1"/>
    </font>
    <font>
      <sz val="18"/>
      <color theme="1"/>
      <name val="Calibri"/>
      <family val="2"/>
      <scheme val="minor"/>
    </font>
  </fonts>
  <fills count="3">
    <fill>
      <patternFill patternType="none"/>
    </fill>
    <fill>
      <patternFill patternType="gray125"/>
    </fill>
    <fill>
      <patternFill patternType="solid">
        <fgColor rgb="FF00B0F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8">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1" xfId="0" applyBorder="1"/>
    <xf numFmtId="164" fontId="0" fillId="0" borderId="1" xfId="0" applyNumberFormat="1"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164" fontId="0" fillId="0" borderId="8" xfId="0" applyNumberFormat="1" applyBorder="1"/>
    <xf numFmtId="0" fontId="0" fillId="0" borderId="8" xfId="0" applyBorder="1"/>
    <xf numFmtId="0" fontId="0" fillId="0" borderId="9" xfId="0" applyBorder="1"/>
    <xf numFmtId="3" fontId="0" fillId="0" borderId="1" xfId="0" applyNumberFormat="1" applyBorder="1"/>
    <xf numFmtId="4" fontId="0" fillId="0" borderId="1" xfId="0" applyNumberFormat="1" applyBorder="1"/>
    <xf numFmtId="10" fontId="0" fillId="0" borderId="1" xfId="0" applyNumberFormat="1" applyBorder="1"/>
    <xf numFmtId="0" fontId="2" fillId="0" borderId="1" xfId="0" applyFont="1" applyBorder="1"/>
    <xf numFmtId="44" fontId="0" fillId="0" borderId="1" xfId="0" applyNumberFormat="1" applyBorder="1"/>
    <xf numFmtId="0" fontId="3" fillId="0" borderId="1" xfId="0" applyFont="1" applyBorder="1"/>
    <xf numFmtId="10" fontId="3" fillId="0" borderId="1" xfId="0" applyNumberFormat="1" applyFont="1" applyBorder="1"/>
    <xf numFmtId="165" fontId="0" fillId="0" borderId="8" xfId="0" applyNumberFormat="1" applyBorder="1"/>
    <xf numFmtId="0" fontId="4" fillId="0" borderId="0" xfId="0" applyFont="1" applyAlignment="1">
      <alignment horizontal="left"/>
    </xf>
    <xf numFmtId="0" fontId="2" fillId="0" borderId="0" xfId="0" applyFont="1" applyAlignment="1">
      <alignment horizontal="left"/>
    </xf>
    <xf numFmtId="0" fontId="5" fillId="2" borderId="1" xfId="0" applyFont="1" applyFill="1" applyBorder="1" applyAlignment="1">
      <alignment horizontal="center"/>
    </xf>
    <xf numFmtId="3" fontId="5" fillId="2" borderId="1" xfId="0" applyNumberFormat="1" applyFont="1" applyFill="1" applyBorder="1" applyAlignment="1">
      <alignment horizontal="center"/>
    </xf>
    <xf numFmtId="0" fontId="3" fillId="2" borderId="10" xfId="0" applyFont="1" applyFill="1" applyBorder="1"/>
    <xf numFmtId="0" fontId="3" fillId="2" borderId="11" xfId="0" applyFont="1" applyFill="1" applyBorder="1"/>
    <xf numFmtId="0" fontId="3" fillId="2" borderId="12" xfId="0" applyFont="1" applyFill="1" applyBorder="1"/>
    <xf numFmtId="0" fontId="5" fillId="2" borderId="13" xfId="0" applyFont="1" applyFill="1" applyBorder="1" applyAlignment="1">
      <alignment horizontal="center"/>
    </xf>
    <xf numFmtId="10" fontId="5" fillId="2" borderId="14" xfId="0" applyNumberFormat="1" applyFont="1" applyFill="1" applyBorder="1" applyAlignment="1">
      <alignment horizontal="center"/>
    </xf>
    <xf numFmtId="0" fontId="0" fillId="0" borderId="15" xfId="0" applyBorder="1"/>
    <xf numFmtId="0" fontId="0" fillId="0" borderId="16" xfId="0" applyBorder="1"/>
    <xf numFmtId="0" fontId="0" fillId="0" borderId="17" xfId="0" applyBorder="1"/>
    <xf numFmtId="0" fontId="6" fillId="0" borderId="0" xfId="0" applyFont="1" applyBorder="1" applyAlignment="1">
      <alignment horizontal="right" wrapText="1"/>
    </xf>
    <xf numFmtId="0" fontId="3" fillId="0" borderId="0" xfId="0" applyFont="1" applyAlignment="1">
      <alignment horizontal="left"/>
    </xf>
    <xf numFmtId="0" fontId="7" fillId="0" borderId="0" xfId="0" applyFont="1"/>
  </cellXfs>
  <cellStyles count="1">
    <cellStyle name="Normal" xfId="0" builtinId="0"/>
  </cellStyles>
  <dxfs count="26">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horizontal/>
      </border>
    </dxf>
    <dxf>
      <numFmt numFmtId="165" formatCode="&quot;Ksh&quot;#,##0.00"/>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numFmt numFmtId="165" formatCode="&quot;Ksh&quot;#,##0.00"/>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numFmt numFmtId="164" formatCode="yyyy\-mm\-dd\ h:mm:ss"/>
      <border diagonalUp="0" diagonalDown="0" outline="0">
        <left style="thin">
          <color indexed="64"/>
        </left>
        <right style="thin">
          <color indexed="64"/>
        </right>
        <top style="thin">
          <color indexed="64"/>
        </top>
        <bottom/>
      </border>
    </dxf>
    <dxf>
      <numFmt numFmtId="164" formatCode="yyyy\-mm\-dd\ h:mm:ss"/>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Times New Roman"/>
        <family val="1"/>
        <scheme val="none"/>
      </font>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[Retail_Sales_Dataset_Project1.xlsx]PT_SALES _REGION!PivotTable1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'PT_SALES _REGION'!$B$3</c:f>
              <c:strCache>
                <c:ptCount val="1"/>
                <c:pt idx="0">
                  <c:v>Total</c:v>
                </c:pt>
              </c:strCache>
            </c:strRef>
          </c:tx>
          <c:spPr>
            <a:solidFill>
              <a:schemeClr val="accent1"/>
            </a:solidFill>
            <a:ln>
              <a:noFill/>
            </a:ln>
            <a:effectLst/>
          </c:spPr>
          <c:invertIfNegative val="0"/>
          <c:cat>
            <c:strRef>
              <c:f>'PT_SALES _REGION'!$A$4:$A$9</c:f>
              <c:strCache>
                <c:ptCount val="5"/>
                <c:pt idx="0">
                  <c:v>Eldoret</c:v>
                </c:pt>
                <c:pt idx="1">
                  <c:v>Kisumu</c:v>
                </c:pt>
                <c:pt idx="2">
                  <c:v>Mombasa</c:v>
                </c:pt>
                <c:pt idx="3">
                  <c:v>Nairobi</c:v>
                </c:pt>
                <c:pt idx="4">
                  <c:v>Nakuru</c:v>
                </c:pt>
              </c:strCache>
            </c:strRef>
          </c:cat>
          <c:val>
            <c:numRef>
              <c:f>'PT_SALES _REGION'!$B$4:$B$9</c:f>
              <c:numCache>
                <c:formatCode>General</c:formatCode>
                <c:ptCount val="5"/>
                <c:pt idx="0">
                  <c:v>3909400</c:v>
                </c:pt>
                <c:pt idx="1">
                  <c:v>3366450</c:v>
                </c:pt>
                <c:pt idx="2">
                  <c:v>3717250</c:v>
                </c:pt>
                <c:pt idx="3">
                  <c:v>3432800</c:v>
                </c:pt>
                <c:pt idx="4">
                  <c:v>3812250</c:v>
                </c:pt>
              </c:numCache>
            </c:numRef>
          </c:val>
          <c:extLst>
            <c:ext xmlns:c16="http://schemas.microsoft.com/office/drawing/2014/chart" uri="{C3380CC4-5D6E-409C-BE32-E72D297353CC}">
              <c16:uniqueId val="{00000000-44BB-41DF-A03C-41038AC556E1}"/>
            </c:ext>
          </c:extLst>
        </c:ser>
        <c:dLbls>
          <c:showLegendKey val="0"/>
          <c:showVal val="0"/>
          <c:showCatName val="0"/>
          <c:showSerName val="0"/>
          <c:showPercent val="0"/>
          <c:showBubbleSize val="0"/>
        </c:dLbls>
        <c:gapWidth val="219"/>
        <c:overlap val="-26"/>
        <c:axId val="162809744"/>
        <c:axId val="1776209280"/>
      </c:barChart>
      <c:catAx>
        <c:axId val="16280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76209280"/>
        <c:crosses val="autoZero"/>
        <c:auto val="1"/>
        <c:lblAlgn val="ctr"/>
        <c:lblOffset val="100"/>
        <c:noMultiLvlLbl val="0"/>
      </c:catAx>
      <c:valAx>
        <c:axId val="177620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280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[Retail_Sales_Dataset_Project1.xlsx]PT_PROFIT_REGION!PivotTable2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PT_PROFIT_REGION!$B$3</c:f>
              <c:strCache>
                <c:ptCount val="1"/>
                <c:pt idx="0">
                  <c:v>Total</c:v>
                </c:pt>
              </c:strCache>
            </c:strRef>
          </c:tx>
          <c:spPr>
            <a:solidFill>
              <a:schemeClr val="accent1"/>
            </a:solidFill>
            <a:ln>
              <a:noFill/>
            </a:ln>
            <a:effectLst/>
          </c:spPr>
          <c:invertIfNegative val="0"/>
          <c:cat>
            <c:strRef>
              <c:f>PT_PROFIT_REGION!$A$4:$A$9</c:f>
              <c:strCache>
                <c:ptCount val="5"/>
                <c:pt idx="0">
                  <c:v>Eldoret</c:v>
                </c:pt>
                <c:pt idx="1">
                  <c:v>Kisumu</c:v>
                </c:pt>
                <c:pt idx="2">
                  <c:v>Mombasa</c:v>
                </c:pt>
                <c:pt idx="3">
                  <c:v>Nairobi</c:v>
                </c:pt>
                <c:pt idx="4">
                  <c:v>Nakuru</c:v>
                </c:pt>
              </c:strCache>
            </c:strRef>
          </c:cat>
          <c:val>
            <c:numRef>
              <c:f>PT_PROFIT_REGION!$B$4:$B$9</c:f>
              <c:numCache>
                <c:formatCode>General</c:formatCode>
                <c:ptCount val="5"/>
                <c:pt idx="0">
                  <c:v>1203200.7000000004</c:v>
                </c:pt>
                <c:pt idx="1">
                  <c:v>891116.99000000057</c:v>
                </c:pt>
                <c:pt idx="2">
                  <c:v>1076862.93</c:v>
                </c:pt>
                <c:pt idx="3">
                  <c:v>960132.78000000049</c:v>
                </c:pt>
                <c:pt idx="4">
                  <c:v>1085978.3400000003</c:v>
                </c:pt>
              </c:numCache>
            </c:numRef>
          </c:val>
          <c:extLst>
            <c:ext xmlns:c16="http://schemas.microsoft.com/office/drawing/2014/chart" uri="{C3380CC4-5D6E-409C-BE32-E72D297353CC}">
              <c16:uniqueId val="{00000000-06C3-4B12-8869-0E740A01628B}"/>
            </c:ext>
          </c:extLst>
        </c:ser>
        <c:dLbls>
          <c:showLegendKey val="0"/>
          <c:showVal val="0"/>
          <c:showCatName val="0"/>
          <c:showSerName val="0"/>
          <c:showPercent val="0"/>
          <c:showBubbleSize val="0"/>
        </c:dLbls>
        <c:gapWidth val="182"/>
        <c:axId val="1995971968"/>
        <c:axId val="1998683440"/>
      </c:barChart>
      <c:catAx>
        <c:axId val="199597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98683440"/>
        <c:crosses val="autoZero"/>
        <c:auto val="1"/>
        <c:lblAlgn val="ctr"/>
        <c:lblOffset val="100"/>
        <c:noMultiLvlLbl val="0"/>
      </c:catAx>
      <c:valAx>
        <c:axId val="1998683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9597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[Retail_Sales_Dataset_Project1.xlsx]PT_SALES_CATEGORY!PivotTable3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591535433070866"/>
          <c:y val="0.23380869058034412"/>
          <c:w val="0.39962270341207351"/>
          <c:h val="0.66603783902012248"/>
        </c:manualLayout>
      </c:layout>
      <c:doughnutChart>
        <c:varyColors val="1"/>
        <c:ser>
          <c:idx val="0"/>
          <c:order val="0"/>
          <c:tx>
            <c:strRef>
              <c:f>PT_SALES_CATEGORY!$B$3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590-4DD7-A6D8-0E6C6FB9B0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D590-4DD7-A6D8-0E6C6FB9B0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D590-4DD7-A6D8-0E6C6FB9B005}"/>
              </c:ext>
            </c:extLst>
          </c:dPt>
          <c:dLbls>
            <c:dLbl>
              <c:idx val="0"/>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590-4DD7-A6D8-0E6C6FB9B005}"/>
                </c:ext>
              </c:extLst>
            </c:dLbl>
            <c:dLbl>
              <c:idx val="1"/>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590-4DD7-A6D8-0E6C6FB9B005}"/>
                </c:ext>
              </c:extLst>
            </c:dLbl>
            <c:dLbl>
              <c:idx val="2"/>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590-4DD7-A6D8-0E6C6FB9B0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PT_SALES_CATEGORY!$A$4:$A$7</c:f>
              <c:strCache>
                <c:ptCount val="3"/>
                <c:pt idx="0">
                  <c:v>Electronics</c:v>
                </c:pt>
                <c:pt idx="1">
                  <c:v>Furniture</c:v>
                </c:pt>
                <c:pt idx="2">
                  <c:v>Office Supplies</c:v>
                </c:pt>
              </c:strCache>
            </c:strRef>
          </c:cat>
          <c:val>
            <c:numRef>
              <c:f>PT_SALES_CATEGORY!$B$4:$B$7</c:f>
              <c:numCache>
                <c:formatCode>General</c:formatCode>
                <c:ptCount val="3"/>
                <c:pt idx="0">
                  <c:v>5771150</c:v>
                </c:pt>
                <c:pt idx="1">
                  <c:v>5711850</c:v>
                </c:pt>
                <c:pt idx="2">
                  <c:v>6755150</c:v>
                </c:pt>
              </c:numCache>
            </c:numRef>
          </c:val>
          <c:extLst>
            <c:ext xmlns:c16="http://schemas.microsoft.com/office/drawing/2014/chart" uri="{C3380CC4-5D6E-409C-BE32-E72D297353CC}">
              <c16:uniqueId val="{00000000-D590-4DD7-A6D8-0E6C6FB9B00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[Retail_Sales_Dataset_Project1.xlsx]PT_PROFIT_CATEGORY !PivotTable2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'PT_PROFIT_CATEGORY '!$B$3</c:f>
              <c:strCache>
                <c:ptCount val="1"/>
                <c:pt idx="0">
                  <c:v>Total</c:v>
                </c:pt>
              </c:strCache>
            </c:strRef>
          </c:tx>
          <c:spPr>
            <a:solidFill>
              <a:schemeClr val="accent1"/>
            </a:solidFill>
            <a:ln>
              <a:noFill/>
            </a:ln>
            <a:effectLst/>
          </c:spPr>
          <c:invertIfNegative val="0"/>
          <c:cat>
            <c:strRef>
              <c:f>'PT_PROFIT_CATEGORY '!$A$4:$A$7</c:f>
              <c:strCache>
                <c:ptCount val="3"/>
                <c:pt idx="0">
                  <c:v>Electronics</c:v>
                </c:pt>
                <c:pt idx="1">
                  <c:v>Furniture</c:v>
                </c:pt>
                <c:pt idx="2">
                  <c:v>Office Supplies</c:v>
                </c:pt>
              </c:strCache>
            </c:strRef>
          </c:cat>
          <c:val>
            <c:numRef>
              <c:f>'PT_PROFIT_CATEGORY '!$B$4:$B$7</c:f>
              <c:numCache>
                <c:formatCode>General</c:formatCode>
                <c:ptCount val="3"/>
                <c:pt idx="0">
                  <c:v>1646682.8100000017</c:v>
                </c:pt>
                <c:pt idx="1">
                  <c:v>1675839.82</c:v>
                </c:pt>
                <c:pt idx="2">
                  <c:v>1894769.1099999992</c:v>
                </c:pt>
              </c:numCache>
            </c:numRef>
          </c:val>
          <c:extLst>
            <c:ext xmlns:c16="http://schemas.microsoft.com/office/drawing/2014/chart" uri="{C3380CC4-5D6E-409C-BE32-E72D297353CC}">
              <c16:uniqueId val="{00000000-F3BA-4AE8-8E5A-AA2A23A10FBB}"/>
            </c:ext>
          </c:extLst>
        </c:ser>
        <c:dLbls>
          <c:showLegendKey val="0"/>
          <c:showVal val="0"/>
          <c:showCatName val="0"/>
          <c:showSerName val="0"/>
          <c:showPercent val="0"/>
          <c:showBubbleSize val="0"/>
        </c:dLbls>
        <c:gapWidth val="219"/>
        <c:overlap val="-27"/>
        <c:axId val="11396272"/>
        <c:axId val="7982624"/>
      </c:barChart>
      <c:catAx>
        <c:axId val="1139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982624"/>
        <c:crosses val="autoZero"/>
        <c:auto val="1"/>
        <c:lblAlgn val="ctr"/>
        <c:lblOffset val="100"/>
        <c:noMultiLvlLbl val="0"/>
      </c:catAx>
      <c:valAx>
        <c:axId val="798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39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[Retail_Sales_Dataset_Project1.xlsx]PT_SALES_PRODUCT!PivotTable5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PT_SALES_PRODUCT!$B$3</c:f>
              <c:strCache>
                <c:ptCount val="1"/>
                <c:pt idx="0">
                  <c:v>Total</c:v>
                </c:pt>
              </c:strCache>
            </c:strRef>
          </c:tx>
          <c:spPr>
            <a:solidFill>
              <a:schemeClr val="accent1"/>
            </a:solidFill>
            <a:ln>
              <a:noFill/>
            </a:ln>
            <a:effectLst/>
          </c:spPr>
          <c:invertIfNegative val="0"/>
          <c:cat>
            <c:strRef>
              <c:f>PT_SALES_PRODUCT!$A$4:$A$13</c:f>
              <c:strCache>
                <c:ptCount val="9"/>
                <c:pt idx="0">
                  <c:v>Cabinet</c:v>
                </c:pt>
                <c:pt idx="1">
                  <c:v>Chair</c:v>
                </c:pt>
                <c:pt idx="2">
                  <c:v>Desk</c:v>
                </c:pt>
                <c:pt idx="3">
                  <c:v>Headphones</c:v>
                </c:pt>
                <c:pt idx="4">
                  <c:v>Laptop</c:v>
                </c:pt>
                <c:pt idx="5">
                  <c:v>Notebook</c:v>
                </c:pt>
                <c:pt idx="6">
                  <c:v>Paper</c:v>
                </c:pt>
                <c:pt idx="7">
                  <c:v>Pens</c:v>
                </c:pt>
                <c:pt idx="8">
                  <c:v>Phone</c:v>
                </c:pt>
              </c:strCache>
            </c:strRef>
          </c:cat>
          <c:val>
            <c:numRef>
              <c:f>PT_SALES_PRODUCT!$B$4:$B$13</c:f>
              <c:numCache>
                <c:formatCode>General</c:formatCode>
                <c:ptCount val="9"/>
                <c:pt idx="0">
                  <c:v>1888450</c:v>
                </c:pt>
                <c:pt idx="1">
                  <c:v>1962900</c:v>
                </c:pt>
                <c:pt idx="2">
                  <c:v>1860500</c:v>
                </c:pt>
                <c:pt idx="3">
                  <c:v>1540750</c:v>
                </c:pt>
                <c:pt idx="4">
                  <c:v>2568450</c:v>
                </c:pt>
                <c:pt idx="5">
                  <c:v>2441550</c:v>
                </c:pt>
                <c:pt idx="6">
                  <c:v>2220050</c:v>
                </c:pt>
                <c:pt idx="7">
                  <c:v>2093550</c:v>
                </c:pt>
                <c:pt idx="8">
                  <c:v>1661950</c:v>
                </c:pt>
              </c:numCache>
            </c:numRef>
          </c:val>
          <c:extLst>
            <c:ext xmlns:c16="http://schemas.microsoft.com/office/drawing/2014/chart" uri="{C3380CC4-5D6E-409C-BE32-E72D297353CC}">
              <c16:uniqueId val="{00000000-8189-4D2F-90F8-A4D6B1DFD365}"/>
            </c:ext>
          </c:extLst>
        </c:ser>
        <c:dLbls>
          <c:showLegendKey val="0"/>
          <c:showVal val="0"/>
          <c:showCatName val="0"/>
          <c:showSerName val="0"/>
          <c:showPercent val="0"/>
          <c:showBubbleSize val="0"/>
        </c:dLbls>
        <c:gapWidth val="182"/>
        <c:axId val="156774000"/>
        <c:axId val="1830848912"/>
      </c:barChart>
      <c:catAx>
        <c:axId val="15677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0848912"/>
        <c:crosses val="autoZero"/>
        <c:auto val="1"/>
        <c:lblAlgn val="ctr"/>
        <c:lblOffset val="100"/>
        <c:noMultiLvlLbl val="0"/>
      </c:catAx>
      <c:valAx>
        <c:axId val="183084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77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[Retail_Sales_Dataset_Project1.xlsx]PT_SALES_SALESPERSON!PivotTable6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PT_SALES_SALESPERSON!$B$3</c:f>
              <c:strCache>
                <c:ptCount val="1"/>
                <c:pt idx="0">
                  <c:v>Total</c:v>
                </c:pt>
              </c:strCache>
            </c:strRef>
          </c:tx>
          <c:spPr>
            <a:solidFill>
              <a:schemeClr val="accent1"/>
            </a:solidFill>
            <a:ln>
              <a:noFill/>
            </a:ln>
            <a:effectLst/>
          </c:spPr>
          <c:invertIfNegative val="0"/>
          <c:cat>
            <c:strRef>
              <c:f>PT_SALES_SALESPERSON!$A$4:$A$10</c:f>
              <c:strCache>
                <c:ptCount val="6"/>
                <c:pt idx="0">
                  <c:v>Amina</c:v>
                </c:pt>
                <c:pt idx="1">
                  <c:v>Brian</c:v>
                </c:pt>
                <c:pt idx="2">
                  <c:v>Faith</c:v>
                </c:pt>
                <c:pt idx="3">
                  <c:v>James</c:v>
                </c:pt>
                <c:pt idx="4">
                  <c:v>Lilian</c:v>
                </c:pt>
                <c:pt idx="5">
                  <c:v>Peter</c:v>
                </c:pt>
              </c:strCache>
            </c:strRef>
          </c:cat>
          <c:val>
            <c:numRef>
              <c:f>PT_SALES_SALESPERSON!$B$4:$B$10</c:f>
              <c:numCache>
                <c:formatCode>General</c:formatCode>
                <c:ptCount val="6"/>
                <c:pt idx="0">
                  <c:v>3026800</c:v>
                </c:pt>
                <c:pt idx="1">
                  <c:v>2998700</c:v>
                </c:pt>
                <c:pt idx="2">
                  <c:v>2394250</c:v>
                </c:pt>
                <c:pt idx="3">
                  <c:v>3964500</c:v>
                </c:pt>
                <c:pt idx="4">
                  <c:v>2864500</c:v>
                </c:pt>
                <c:pt idx="5">
                  <c:v>2989400</c:v>
                </c:pt>
              </c:numCache>
            </c:numRef>
          </c:val>
          <c:extLst>
            <c:ext xmlns:c16="http://schemas.microsoft.com/office/drawing/2014/chart" uri="{C3380CC4-5D6E-409C-BE32-E72D297353CC}">
              <c16:uniqueId val="{00000000-13D9-4A26-BD45-D063D5007C87}"/>
            </c:ext>
          </c:extLst>
        </c:ser>
        <c:dLbls>
          <c:showLegendKey val="0"/>
          <c:showVal val="0"/>
          <c:showCatName val="0"/>
          <c:showSerName val="0"/>
          <c:showPercent val="0"/>
          <c:showBubbleSize val="0"/>
        </c:dLbls>
        <c:gapWidth val="182"/>
        <c:axId val="1888837872"/>
        <c:axId val="1776213440"/>
      </c:barChart>
      <c:catAx>
        <c:axId val="188883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76213440"/>
        <c:crosses val="autoZero"/>
        <c:auto val="1"/>
        <c:lblAlgn val="ctr"/>
        <c:lblOffset val="100"/>
        <c:noMultiLvlLbl val="0"/>
      </c:catAx>
      <c:valAx>
        <c:axId val="1776213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883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[Retail_Sales_Dataset_Project1.xlsx]MONTHLY SALES TREND!PivotTable7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209650</c:v>
                </c:pt>
                <c:pt idx="1">
                  <c:v>109800</c:v>
                </c:pt>
                <c:pt idx="2">
                  <c:v>88000</c:v>
                </c:pt>
                <c:pt idx="3">
                  <c:v>379150</c:v>
                </c:pt>
                <c:pt idx="4">
                  <c:v>349400</c:v>
                </c:pt>
                <c:pt idx="5">
                  <c:v>559050</c:v>
                </c:pt>
                <c:pt idx="6">
                  <c:v>243550</c:v>
                </c:pt>
                <c:pt idx="7">
                  <c:v>315650</c:v>
                </c:pt>
                <c:pt idx="8">
                  <c:v>220100</c:v>
                </c:pt>
                <c:pt idx="9">
                  <c:v>487050</c:v>
                </c:pt>
                <c:pt idx="10">
                  <c:v>166250</c:v>
                </c:pt>
                <c:pt idx="11">
                  <c:v>305150</c:v>
                </c:pt>
              </c:numCache>
            </c:numRef>
          </c:val>
          <c:smooth val="0"/>
          <c:extLst>
            <c:ext xmlns:c16="http://schemas.microsoft.com/office/drawing/2014/chart" uri="{C3380CC4-5D6E-409C-BE32-E72D297353CC}">
              <c16:uniqueId val="{00000000-1BE2-4A01-B301-F57DE6B9BC9E}"/>
            </c:ext>
          </c:extLst>
        </c:ser>
        <c:dLbls>
          <c:showLegendKey val="0"/>
          <c:showVal val="0"/>
          <c:showCatName val="0"/>
          <c:showSerName val="0"/>
          <c:showPercent val="0"/>
          <c:showBubbleSize val="0"/>
        </c:dLbls>
        <c:marker val="1"/>
        <c:smooth val="0"/>
        <c:axId val="2025905648"/>
        <c:axId val="121637824"/>
      </c:lineChart>
      <c:catAx>
        <c:axId val="202590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1637824"/>
        <c:crosses val="autoZero"/>
        <c:auto val="1"/>
        <c:lblAlgn val="ctr"/>
        <c:lblOffset val="100"/>
        <c:noMultiLvlLbl val="0"/>
      </c:catAx>
      <c:valAx>
        <c:axId val="12163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2590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[Retail_Sales_Dataset_Project1.xlsx]PT_SALES _REGION!PivotTable1</c:name>
    <c:fmtId val="5"/>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Book Antiqua" panose="02040602050305030304" pitchFamily="18" charset="0"/>
                <a:ea typeface="+mn-ea"/>
                <a:cs typeface="+mn-cs"/>
              </a:defRPr>
            </a:pPr>
            <a:r>
              <a:rPr lang="en-US"/>
              <a:t>REGIONAL SALES PERFORMANCE</a:t>
            </a:r>
          </a:p>
        </c:rich>
      </c:tx>
      <c:layout>
        <c:manualLayout>
          <c:xMode val="edge"/>
          <c:yMode val="edge"/>
          <c:x val="0.38807708424625836"/>
          <c:y val="5.5944035407728868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Book Antiqua" panose="02040602050305030304" pitchFamily="18" charset="0"/>
              <a:ea typeface="+mn-ea"/>
              <a:cs typeface="+mn-cs"/>
            </a:defRPr>
          </a:pPr>
          <a:endParaRPr lang="en-KE"/>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Book Antiqua" panose="02040602050305030304"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'PT_SALES _REGION'!$B$3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Book Antiqua" panose="02040602050305030304" pitchFamily="18"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 _REGION'!$A$4:$A$9</c:f>
              <c:strCache>
                <c:ptCount val="5"/>
                <c:pt idx="0">
                  <c:v>Eldoret</c:v>
                </c:pt>
                <c:pt idx="1">
                  <c:v>Kisumu</c:v>
                </c:pt>
                <c:pt idx="2">
                  <c:v>Mombasa</c:v>
                </c:pt>
                <c:pt idx="3">
                  <c:v>Nairobi</c:v>
                </c:pt>
                <c:pt idx="4">
                  <c:v>Nakuru</c:v>
                </c:pt>
              </c:strCache>
            </c:strRef>
          </c:cat>
          <c:val>
            <c:numRef>
              <c:f>'PT_SALES _REGION'!$B$4:$B$9</c:f>
              <c:numCache>
                <c:formatCode>General</c:formatCode>
                <c:ptCount val="5"/>
                <c:pt idx="0">
                  <c:v>3909400</c:v>
                </c:pt>
                <c:pt idx="1">
                  <c:v>3366450</c:v>
                </c:pt>
                <c:pt idx="2">
                  <c:v>3717250</c:v>
                </c:pt>
                <c:pt idx="3">
                  <c:v>3432800</c:v>
                </c:pt>
                <c:pt idx="4">
                  <c:v>3812250</c:v>
                </c:pt>
              </c:numCache>
            </c:numRef>
          </c:val>
          <c:extLst>
            <c:ext xmlns:c16="http://schemas.microsoft.com/office/drawing/2014/chart" uri="{C3380CC4-5D6E-409C-BE32-E72D297353CC}">
              <c16:uniqueId val="{00000000-A324-46F7-AB97-C5C14001303B}"/>
            </c:ext>
          </c:extLst>
        </c:ser>
        <c:dLbls>
          <c:showLegendKey val="0"/>
          <c:showVal val="0"/>
          <c:showCatName val="0"/>
          <c:showSerName val="0"/>
          <c:showPercent val="0"/>
          <c:showBubbleSize val="0"/>
        </c:dLbls>
        <c:gapWidth val="219"/>
        <c:overlap val="-26"/>
        <c:axId val="162809744"/>
        <c:axId val="1776209280"/>
      </c:barChart>
      <c:catAx>
        <c:axId val="16280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ook Antiqua" panose="02040602050305030304" pitchFamily="18" charset="0"/>
                <a:ea typeface="+mn-ea"/>
                <a:cs typeface="+mn-cs"/>
              </a:defRPr>
            </a:pPr>
            <a:endParaRPr lang="en-KE"/>
          </a:p>
        </c:txPr>
        <c:crossAx val="1776209280"/>
        <c:crosses val="autoZero"/>
        <c:auto val="1"/>
        <c:lblAlgn val="ctr"/>
        <c:lblOffset val="100"/>
        <c:noMultiLvlLbl val="0"/>
      </c:catAx>
      <c:valAx>
        <c:axId val="177620928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ook Antiqua" panose="02040602050305030304" pitchFamily="18" charset="0"/>
                <a:ea typeface="+mn-ea"/>
                <a:cs typeface="+mn-cs"/>
              </a:defRPr>
            </a:pPr>
            <a:endParaRPr lang="en-KE"/>
          </a:p>
        </c:txPr>
        <c:crossAx val="162809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latin typeface="Book Antiqua" panose="02040602050305030304" pitchFamily="18" charset="0"/>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[Retail_Sales_Dataset_Project1.xlsx]PT_PROFIT_REGION!PivotTable2</c:name>
    <c:fmtId val="11"/>
  </c:pivotSource>
  <c:chart>
    <c:title>
      <c:tx>
        <c:rich>
          <a:bodyPr rot="0" vert="horz"/>
          <a:lstStyle/>
          <a:p>
            <a:pPr>
              <a:defRPr/>
            </a:pPr>
            <a:r>
              <a:rPr lang="en-US"/>
              <a:t>PROFIT BY REGION</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00B050"/>
          </a:solidFill>
          <a:ln>
            <a:noFill/>
          </a:ln>
          <a:effectLst/>
        </c:spPr>
        <c:marker>
          <c:symbol val="none"/>
        </c:marker>
        <c:dLbl>
          <c:idx val="0"/>
          <c:spPr>
            <a:noFill/>
            <a:ln>
              <a:noFill/>
            </a:ln>
            <a:effectLst/>
          </c:spPr>
          <c:txPr>
            <a:bodyPr/>
            <a:lstStyle/>
            <a:p>
              <a:pPr>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PT_PROFIT_REGION!$B$3</c:f>
              <c:strCache>
                <c:ptCount val="1"/>
                <c:pt idx="0">
                  <c:v>Total</c:v>
                </c:pt>
              </c:strCache>
            </c:strRef>
          </c:tx>
          <c:spPr>
            <a:solidFill>
              <a:srgbClr val="00B050"/>
            </a:solidFill>
            <a:ln>
              <a:noFill/>
            </a:ln>
            <a:effectLst/>
          </c:spPr>
          <c:invertIfNegative val="0"/>
          <c:dLbls>
            <c:spPr>
              <a:noFill/>
              <a:ln>
                <a:noFill/>
              </a:ln>
              <a:effectLst/>
            </c:spPr>
            <c:txPr>
              <a:bodyPr/>
              <a:lstStyle/>
              <a:p>
                <a:pPr>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PT_PROFIT_REGION!$A$4:$A$9</c:f>
              <c:strCache>
                <c:ptCount val="5"/>
                <c:pt idx="0">
                  <c:v>Eldoret</c:v>
                </c:pt>
                <c:pt idx="1">
                  <c:v>Kisumu</c:v>
                </c:pt>
                <c:pt idx="2">
                  <c:v>Mombasa</c:v>
                </c:pt>
                <c:pt idx="3">
                  <c:v>Nairobi</c:v>
                </c:pt>
                <c:pt idx="4">
                  <c:v>Nakuru</c:v>
                </c:pt>
              </c:strCache>
            </c:strRef>
          </c:cat>
          <c:val>
            <c:numRef>
              <c:f>PT_PROFIT_REGION!$B$4:$B$9</c:f>
              <c:numCache>
                <c:formatCode>General</c:formatCode>
                <c:ptCount val="5"/>
                <c:pt idx="0">
                  <c:v>1203200.7000000004</c:v>
                </c:pt>
                <c:pt idx="1">
                  <c:v>891116.99000000057</c:v>
                </c:pt>
                <c:pt idx="2">
                  <c:v>1076862.93</c:v>
                </c:pt>
                <c:pt idx="3">
                  <c:v>960132.78000000049</c:v>
                </c:pt>
                <c:pt idx="4">
                  <c:v>1085978.3400000003</c:v>
                </c:pt>
              </c:numCache>
            </c:numRef>
          </c:val>
          <c:extLst>
            <c:ext xmlns:c16="http://schemas.microsoft.com/office/drawing/2014/chart" uri="{C3380CC4-5D6E-409C-BE32-E72D297353CC}">
              <c16:uniqueId val="{00000004-AE12-4CAF-844F-34E26DCD14CA}"/>
            </c:ext>
          </c:extLst>
        </c:ser>
        <c:dLbls>
          <c:showLegendKey val="0"/>
          <c:showVal val="0"/>
          <c:showCatName val="0"/>
          <c:showSerName val="0"/>
          <c:showPercent val="0"/>
          <c:showBubbleSize val="0"/>
        </c:dLbls>
        <c:gapWidth val="182"/>
        <c:axId val="1995971968"/>
        <c:axId val="1998683440"/>
      </c:barChart>
      <c:catAx>
        <c:axId val="199597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KE"/>
          </a:p>
        </c:txPr>
        <c:crossAx val="1998683440"/>
        <c:crosses val="autoZero"/>
        <c:auto val="1"/>
        <c:lblAlgn val="ctr"/>
        <c:lblOffset val="100"/>
        <c:noMultiLvlLbl val="0"/>
      </c:catAx>
      <c:valAx>
        <c:axId val="199868344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KE"/>
          </a:p>
        </c:txPr>
        <c:crossAx val="1995971968"/>
        <c:crosses val="autoZero"/>
        <c:crossBetween val="between"/>
      </c:valAx>
    </c:plotArea>
    <c:plotVisOnly val="1"/>
    <c:dispBlanksAs val="gap"/>
    <c:showDLblsOverMax val="0"/>
    <c:extLst/>
  </c:chart>
  <c:spPr>
    <a:ln>
      <a:noFill/>
    </a:ln>
  </c:spPr>
  <c:txPr>
    <a:bodyPr/>
    <a:lstStyle/>
    <a:p>
      <a:pPr>
        <a:defRPr sz="1400">
          <a:latin typeface="Book Antiqua" panose="02040602050305030304" pitchFamily="18" charset="0"/>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[Retail_Sales_Dataset_Project1.xlsx]PT_SALES_CATEGORY!PivotTable3</c:name>
    <c:fmtId val="13"/>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Book Antiqua" panose="02040602050305030304" pitchFamily="18" charset="0"/>
                <a:ea typeface="+mn-ea"/>
                <a:cs typeface="+mn-cs"/>
              </a:defRPr>
            </a:pPr>
            <a:r>
              <a:rPr lang="en-US"/>
              <a:t>CATEGORICAL SALES PERFORMANCE</a:t>
            </a:r>
          </a:p>
        </c:rich>
      </c:tx>
      <c:layout>
        <c:manualLayout>
          <c:xMode val="edge"/>
          <c:yMode val="edge"/>
          <c:x val="0.30384243936920646"/>
          <c:y val="1.0948200357238915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Book Antiqua" panose="02040602050305030304" pitchFamily="18" charset="0"/>
              <a:ea typeface="+mn-ea"/>
              <a:cs typeface="+mn-cs"/>
            </a:defRPr>
          </a:pPr>
          <a:endParaRPr lang="en-KE"/>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3"/>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Book Antiqua" panose="02040602050305030304" pitchFamily="18" charset="0"/>
                  <a:ea typeface="+mn-ea"/>
                  <a:cs typeface="+mn-cs"/>
                </a:defRPr>
              </a:pPr>
              <a:endParaRPr lang="en-KE"/>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Book Antiqua" panose="02040602050305030304" pitchFamily="18" charset="0"/>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noFill/>
          </a:ln>
          <a:effectLst/>
        </c:spP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Book Antiqua" panose="02040602050305030304" pitchFamily="18" charset="0"/>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noFill/>
          </a:ln>
          <a:effectLst/>
        </c:spP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Book Antiqua" panose="02040602050305030304" pitchFamily="18" charset="0"/>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7918137684882203"/>
          <c:y val="0.16124759484417348"/>
          <c:w val="0.21646969703437421"/>
          <c:h val="0.80874657760980961"/>
        </c:manualLayout>
      </c:layout>
      <c:doughnutChart>
        <c:varyColors val="1"/>
        <c:ser>
          <c:idx val="0"/>
          <c:order val="0"/>
          <c:tx>
            <c:strRef>
              <c:f>PT_SALES_CATEGORY!$B$3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1A05-4D73-8C45-8CAD5FE06845}"/>
              </c:ext>
            </c:extLst>
          </c:dPt>
          <c:dPt>
            <c:idx val="1"/>
            <c:bubble3D val="0"/>
            <c:spPr>
              <a:solidFill>
                <a:schemeClr val="accent2"/>
              </a:solidFill>
              <a:ln w="19050">
                <a:noFill/>
              </a:ln>
              <a:effectLst/>
            </c:spPr>
            <c:extLst>
              <c:ext xmlns:c16="http://schemas.microsoft.com/office/drawing/2014/chart" uri="{C3380CC4-5D6E-409C-BE32-E72D297353CC}">
                <c16:uniqueId val="{00000003-1A05-4D73-8C45-8CAD5FE06845}"/>
              </c:ext>
            </c:extLst>
          </c:dPt>
          <c:dPt>
            <c:idx val="2"/>
            <c:bubble3D val="0"/>
            <c:spPr>
              <a:solidFill>
                <a:schemeClr val="accent3"/>
              </a:solidFill>
              <a:ln w="19050">
                <a:noFill/>
              </a:ln>
              <a:effectLst/>
            </c:spPr>
            <c:extLst>
              <c:ext xmlns:c16="http://schemas.microsoft.com/office/drawing/2014/chart" uri="{C3380CC4-5D6E-409C-BE32-E72D297353CC}">
                <c16:uniqueId val="{00000005-1A05-4D73-8C45-8CAD5FE06845}"/>
              </c:ext>
            </c:extLst>
          </c:dPt>
          <c:dLbls>
            <c:dLbl>
              <c:idx val="0"/>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A05-4D73-8C45-8CAD5FE06845}"/>
                </c:ext>
              </c:extLst>
            </c:dLbl>
            <c:dLbl>
              <c:idx val="1"/>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A05-4D73-8C45-8CAD5FE06845}"/>
                </c:ext>
              </c:extLst>
            </c:dLbl>
            <c:dLbl>
              <c:idx val="2"/>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A05-4D73-8C45-8CAD5FE06845}"/>
                </c:ext>
              </c:extLst>
            </c:dLbl>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Book Antiqua" panose="02040602050305030304" pitchFamily="18" charset="0"/>
                    <a:ea typeface="+mn-ea"/>
                    <a:cs typeface="+mn-cs"/>
                  </a:defRPr>
                </a:pPr>
                <a:endParaRPr lang="en-KE"/>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PT_SALES_CATEGORY!$A$4:$A$7</c:f>
              <c:strCache>
                <c:ptCount val="3"/>
                <c:pt idx="0">
                  <c:v>Electronics</c:v>
                </c:pt>
                <c:pt idx="1">
                  <c:v>Furniture</c:v>
                </c:pt>
                <c:pt idx="2">
                  <c:v>Office Supplies</c:v>
                </c:pt>
              </c:strCache>
            </c:strRef>
          </c:cat>
          <c:val>
            <c:numRef>
              <c:f>PT_SALES_CATEGORY!$B$4:$B$7</c:f>
              <c:numCache>
                <c:formatCode>General</c:formatCode>
                <c:ptCount val="3"/>
                <c:pt idx="0">
                  <c:v>5771150</c:v>
                </c:pt>
                <c:pt idx="1">
                  <c:v>5711850</c:v>
                </c:pt>
                <c:pt idx="2">
                  <c:v>6755150</c:v>
                </c:pt>
              </c:numCache>
            </c:numRef>
          </c:val>
          <c:extLst>
            <c:ext xmlns:c16="http://schemas.microsoft.com/office/drawing/2014/chart" uri="{C3380CC4-5D6E-409C-BE32-E72D297353CC}">
              <c16:uniqueId val="{00000006-1A05-4D73-8C45-8CAD5FE0684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Book Antiqua" panose="02040602050305030304" pitchFamily="18" charset="0"/>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400">
          <a:latin typeface="Book Antiqua" panose="02040602050305030304" pitchFamily="18" charset="0"/>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Book Antiqua" panose="02040602050305030304" pitchFamily="18" charset="0"/>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Book Antiqua" panose="02040602050305030304" pitchFamily="18" charset="0"/>
              <a:ea typeface="+mn-ea"/>
              <a:cs typeface="+mn-cs"/>
            </a:defRPr>
          </a:pPr>
          <a:endParaRPr lang="en-KE"/>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Book Antiqua" panose="02040602050305030304" pitchFamily="18"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Electronics</c:v>
              </c:pt>
              <c:pt idx="1">
                <c:v>Furniture</c:v>
              </c:pt>
              <c:pt idx="2">
                <c:v>Office Supplies</c:v>
              </c:pt>
            </c:strLit>
          </c:cat>
          <c:val>
            <c:numLit>
              <c:formatCode>General</c:formatCode>
              <c:ptCount val="3"/>
              <c:pt idx="0">
                <c:v>1646682.8100000017</c:v>
              </c:pt>
              <c:pt idx="1">
                <c:v>1675839.82</c:v>
              </c:pt>
              <c:pt idx="2">
                <c:v>1894769.1099999992</c:v>
              </c:pt>
            </c:numLit>
          </c:val>
          <c:extLst>
            <c:ext xmlns:c16="http://schemas.microsoft.com/office/drawing/2014/chart" uri="{C3380CC4-5D6E-409C-BE32-E72D297353CC}">
              <c16:uniqueId val="{00000000-DC44-4E5E-96BD-E19B6F208A95}"/>
            </c:ext>
          </c:extLst>
        </c:ser>
        <c:dLbls>
          <c:showLegendKey val="0"/>
          <c:showVal val="0"/>
          <c:showCatName val="0"/>
          <c:showSerName val="0"/>
          <c:showPercent val="0"/>
          <c:showBubbleSize val="0"/>
        </c:dLbls>
        <c:gapWidth val="219"/>
        <c:overlap val="-27"/>
        <c:axId val="155893008"/>
        <c:axId val="2007222288"/>
      </c:barChart>
      <c:catAx>
        <c:axId val="15589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ook Antiqua" panose="02040602050305030304" pitchFamily="18" charset="0"/>
                <a:ea typeface="+mn-ea"/>
                <a:cs typeface="+mn-cs"/>
              </a:defRPr>
            </a:pPr>
            <a:endParaRPr lang="en-KE"/>
          </a:p>
        </c:txPr>
        <c:crossAx val="2007222288"/>
        <c:crosses val="autoZero"/>
        <c:auto val="1"/>
        <c:lblAlgn val="ctr"/>
        <c:lblOffset val="100"/>
        <c:noMultiLvlLbl val="0"/>
      </c:catAx>
      <c:valAx>
        <c:axId val="200722228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ook Antiqua" panose="02040602050305030304" pitchFamily="18" charset="0"/>
                <a:ea typeface="+mn-ea"/>
                <a:cs typeface="+mn-cs"/>
              </a:defRPr>
            </a:pPr>
            <a:endParaRPr lang="en-KE"/>
          </a:p>
        </c:txPr>
        <c:crossAx val="15589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400">
          <a:latin typeface="Book Antiqua" panose="02040602050305030304" pitchFamily="18" charset="0"/>
        </a:defRPr>
      </a:pPr>
      <a:endParaRPr lang="en-KE"/>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[Retail_Sales_Dataset_Project1.xlsx]PT_SALES_PRODUCT!PivotTable5</c:name>
    <c:fmtId val="3"/>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Book Antiqua" panose="02040602050305030304" pitchFamily="18" charset="0"/>
                <a:ea typeface="+mn-ea"/>
                <a:cs typeface="+mn-cs"/>
              </a:defRPr>
            </a:pPr>
            <a:r>
              <a:rPr lang="en-US"/>
              <a:t>PRODUCT SALES PERFORMANCE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Book Antiqua" panose="02040602050305030304" pitchFamily="18" charset="0"/>
              <a:ea typeface="+mn-ea"/>
              <a:cs typeface="+mn-cs"/>
            </a:defRPr>
          </a:pPr>
          <a:endParaRPr lang="en-KE"/>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Book Antiqua" panose="02040602050305030304"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PT_SALES_PRODUCT!$B$3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Book Antiqua" panose="02040602050305030304" pitchFamily="18"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PT_SALES_PRODUCT!$A$4:$A$13</c:f>
              <c:strCache>
                <c:ptCount val="9"/>
                <c:pt idx="0">
                  <c:v>Cabinet</c:v>
                </c:pt>
                <c:pt idx="1">
                  <c:v>Chair</c:v>
                </c:pt>
                <c:pt idx="2">
                  <c:v>Desk</c:v>
                </c:pt>
                <c:pt idx="3">
                  <c:v>Headphones</c:v>
                </c:pt>
                <c:pt idx="4">
                  <c:v>Laptop</c:v>
                </c:pt>
                <c:pt idx="5">
                  <c:v>Notebook</c:v>
                </c:pt>
                <c:pt idx="6">
                  <c:v>Paper</c:v>
                </c:pt>
                <c:pt idx="7">
                  <c:v>Pens</c:v>
                </c:pt>
                <c:pt idx="8">
                  <c:v>Phone</c:v>
                </c:pt>
              </c:strCache>
            </c:strRef>
          </c:cat>
          <c:val>
            <c:numRef>
              <c:f>PT_SALES_PRODUCT!$B$4:$B$13</c:f>
              <c:numCache>
                <c:formatCode>General</c:formatCode>
                <c:ptCount val="9"/>
                <c:pt idx="0">
                  <c:v>1888450</c:v>
                </c:pt>
                <c:pt idx="1">
                  <c:v>1962900</c:v>
                </c:pt>
                <c:pt idx="2">
                  <c:v>1860500</c:v>
                </c:pt>
                <c:pt idx="3">
                  <c:v>1540750</c:v>
                </c:pt>
                <c:pt idx="4">
                  <c:v>2568450</c:v>
                </c:pt>
                <c:pt idx="5">
                  <c:v>2441550</c:v>
                </c:pt>
                <c:pt idx="6">
                  <c:v>2220050</c:v>
                </c:pt>
                <c:pt idx="7">
                  <c:v>2093550</c:v>
                </c:pt>
                <c:pt idx="8">
                  <c:v>1661950</c:v>
                </c:pt>
              </c:numCache>
            </c:numRef>
          </c:val>
          <c:extLst>
            <c:ext xmlns:c16="http://schemas.microsoft.com/office/drawing/2014/chart" uri="{C3380CC4-5D6E-409C-BE32-E72D297353CC}">
              <c16:uniqueId val="{00000000-6351-4999-A480-03BDA1D42D11}"/>
            </c:ext>
          </c:extLst>
        </c:ser>
        <c:dLbls>
          <c:showLegendKey val="0"/>
          <c:showVal val="0"/>
          <c:showCatName val="0"/>
          <c:showSerName val="0"/>
          <c:showPercent val="0"/>
          <c:showBubbleSize val="0"/>
        </c:dLbls>
        <c:gapWidth val="182"/>
        <c:axId val="156774000"/>
        <c:axId val="1830848912"/>
      </c:barChart>
      <c:catAx>
        <c:axId val="15677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ook Antiqua" panose="02040602050305030304" pitchFamily="18" charset="0"/>
                <a:ea typeface="+mn-ea"/>
                <a:cs typeface="+mn-cs"/>
              </a:defRPr>
            </a:pPr>
            <a:endParaRPr lang="en-KE"/>
          </a:p>
        </c:txPr>
        <c:crossAx val="1830848912"/>
        <c:crosses val="autoZero"/>
        <c:auto val="1"/>
        <c:lblAlgn val="ctr"/>
        <c:lblOffset val="100"/>
        <c:noMultiLvlLbl val="0"/>
      </c:catAx>
      <c:valAx>
        <c:axId val="183084891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ook Antiqua" panose="02040602050305030304" pitchFamily="18" charset="0"/>
                <a:ea typeface="+mn-ea"/>
                <a:cs typeface="+mn-cs"/>
              </a:defRPr>
            </a:pPr>
            <a:endParaRPr lang="en-KE"/>
          </a:p>
        </c:txPr>
        <c:crossAx val="156774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400">
          <a:latin typeface="Book Antiqua" panose="02040602050305030304" pitchFamily="18" charset="0"/>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[Retail_Sales_Dataset_Project1.xlsx]PT_SALES_SALESPERSON!PivotTable6</c:name>
    <c:fmtId val="2"/>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Book Antiqua" panose="02040602050305030304" pitchFamily="18" charset="0"/>
                <a:ea typeface="+mn-ea"/>
                <a:cs typeface="+mn-cs"/>
              </a:defRPr>
            </a:pPr>
            <a:r>
              <a:rPr lang="en-US"/>
              <a:t>SALESPERSON PERFORMANCE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Book Antiqua" panose="02040602050305030304" pitchFamily="18" charset="0"/>
              <a:ea typeface="+mn-ea"/>
              <a:cs typeface="+mn-cs"/>
            </a:defRPr>
          </a:pPr>
          <a:endParaRPr lang="en-KE"/>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Book Antiqua" panose="02040602050305030304"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PT_SALES_SALESPERSON!$B$3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Book Antiqua" panose="02040602050305030304" pitchFamily="18" charset="0"/>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PT_SALES_SALESPERSON!$A$4:$A$10</c:f>
              <c:strCache>
                <c:ptCount val="6"/>
                <c:pt idx="0">
                  <c:v>Amina</c:v>
                </c:pt>
                <c:pt idx="1">
                  <c:v>Brian</c:v>
                </c:pt>
                <c:pt idx="2">
                  <c:v>Faith</c:v>
                </c:pt>
                <c:pt idx="3">
                  <c:v>James</c:v>
                </c:pt>
                <c:pt idx="4">
                  <c:v>Lilian</c:v>
                </c:pt>
                <c:pt idx="5">
                  <c:v>Peter</c:v>
                </c:pt>
              </c:strCache>
            </c:strRef>
          </c:cat>
          <c:val>
            <c:numRef>
              <c:f>PT_SALES_SALESPERSON!$B$4:$B$10</c:f>
              <c:numCache>
                <c:formatCode>General</c:formatCode>
                <c:ptCount val="6"/>
                <c:pt idx="0">
                  <c:v>3026800</c:v>
                </c:pt>
                <c:pt idx="1">
                  <c:v>2998700</c:v>
                </c:pt>
                <c:pt idx="2">
                  <c:v>2394250</c:v>
                </c:pt>
                <c:pt idx="3">
                  <c:v>3964500</c:v>
                </c:pt>
                <c:pt idx="4">
                  <c:v>2864500</c:v>
                </c:pt>
                <c:pt idx="5">
                  <c:v>2989400</c:v>
                </c:pt>
              </c:numCache>
            </c:numRef>
          </c:val>
          <c:extLst>
            <c:ext xmlns:c16="http://schemas.microsoft.com/office/drawing/2014/chart" uri="{C3380CC4-5D6E-409C-BE32-E72D297353CC}">
              <c16:uniqueId val="{00000000-84D2-42DD-897C-518A22D89656}"/>
            </c:ext>
          </c:extLst>
        </c:ser>
        <c:dLbls>
          <c:showLegendKey val="0"/>
          <c:showVal val="0"/>
          <c:showCatName val="0"/>
          <c:showSerName val="0"/>
          <c:showPercent val="0"/>
          <c:showBubbleSize val="0"/>
        </c:dLbls>
        <c:gapWidth val="182"/>
        <c:axId val="1888837872"/>
        <c:axId val="1776213440"/>
      </c:barChart>
      <c:catAx>
        <c:axId val="18888378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ook Antiqua" panose="02040602050305030304" pitchFamily="18" charset="0"/>
                <a:ea typeface="+mn-ea"/>
                <a:cs typeface="+mn-cs"/>
              </a:defRPr>
            </a:pPr>
            <a:endParaRPr lang="en-KE"/>
          </a:p>
        </c:txPr>
        <c:crossAx val="1776213440"/>
        <c:crosses val="autoZero"/>
        <c:auto val="1"/>
        <c:lblAlgn val="ctr"/>
        <c:lblOffset val="100"/>
        <c:noMultiLvlLbl val="0"/>
      </c:catAx>
      <c:valAx>
        <c:axId val="177621344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ook Antiqua" panose="02040602050305030304" pitchFamily="18" charset="0"/>
                <a:ea typeface="+mn-ea"/>
                <a:cs typeface="+mn-cs"/>
              </a:defRPr>
            </a:pPr>
            <a:endParaRPr lang="en-KE"/>
          </a:p>
        </c:txPr>
        <c:crossAx val="188883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400">
          <a:latin typeface="Book Antiqua" panose="02040602050305030304" pitchFamily="18" charset="0"/>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[Retail_Sales_Dataset_Project1.xlsx]MONTHLY SALES TREND!PivotTable7</c:name>
    <c:fmtId val="1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MONTHLY SALES TREND</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38100" cap="rnd">
            <a:solidFill>
              <a:srgbClr val="0070C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8100" cap="rnd">
              <a:solidFill>
                <a:srgbClr val="0070C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209650</c:v>
                </c:pt>
                <c:pt idx="1">
                  <c:v>109800</c:v>
                </c:pt>
                <c:pt idx="2">
                  <c:v>88000</c:v>
                </c:pt>
                <c:pt idx="3">
                  <c:v>379150</c:v>
                </c:pt>
                <c:pt idx="4">
                  <c:v>349400</c:v>
                </c:pt>
                <c:pt idx="5">
                  <c:v>559050</c:v>
                </c:pt>
                <c:pt idx="6">
                  <c:v>243550</c:v>
                </c:pt>
                <c:pt idx="7">
                  <c:v>315650</c:v>
                </c:pt>
                <c:pt idx="8">
                  <c:v>220100</c:v>
                </c:pt>
                <c:pt idx="9">
                  <c:v>487050</c:v>
                </c:pt>
                <c:pt idx="10">
                  <c:v>166250</c:v>
                </c:pt>
                <c:pt idx="11">
                  <c:v>305150</c:v>
                </c:pt>
              </c:numCache>
            </c:numRef>
          </c:val>
          <c:smooth val="0"/>
          <c:extLst>
            <c:ext xmlns:c16="http://schemas.microsoft.com/office/drawing/2014/chart" uri="{C3380CC4-5D6E-409C-BE32-E72D297353CC}">
              <c16:uniqueId val="{00000000-45D7-40FF-B471-4BD274706F48}"/>
            </c:ext>
          </c:extLst>
        </c:ser>
        <c:dLbls>
          <c:showLegendKey val="0"/>
          <c:showVal val="0"/>
          <c:showCatName val="0"/>
          <c:showSerName val="0"/>
          <c:showPercent val="0"/>
          <c:showBubbleSize val="0"/>
        </c:dLbls>
        <c:marker val="1"/>
        <c:smooth val="0"/>
        <c:axId val="2025905648"/>
        <c:axId val="121637824"/>
      </c:lineChart>
      <c:catAx>
        <c:axId val="202590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Book Antiqua" panose="02040602050305030304" pitchFamily="18" charset="0"/>
                <a:ea typeface="+mn-ea"/>
                <a:cs typeface="+mn-cs"/>
              </a:defRPr>
            </a:pPr>
            <a:endParaRPr lang="en-KE"/>
          </a:p>
        </c:txPr>
        <c:crossAx val="121637824"/>
        <c:crosses val="autoZero"/>
        <c:auto val="1"/>
        <c:lblAlgn val="ctr"/>
        <c:lblOffset val="100"/>
        <c:noMultiLvlLbl val="0"/>
      </c:catAx>
      <c:valAx>
        <c:axId val="12163782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2590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347662</xdr:colOff>
      <xdr:row>7</xdr:row>
      <xdr:rowOff>90487</xdr:rowOff>
    </xdr:from>
    <xdr:to>
      <xdr:col>13</xdr:col>
      <xdr:colOff>42862</xdr:colOff>
      <xdr:row>21</xdr:row>
      <xdr:rowOff>166687</xdr:rowOff>
    </xdr:to>
    <xdr:graphicFrame macro="">
      <xdr:nvGraphicFramePr>
        <xdr:cNvPr id="3" name="Chart 2">
          <a:extLst>
            <a:ext uri="{FF2B5EF4-FFF2-40B4-BE49-F238E27FC236}">
              <a16:creationId xmlns:a16="http://schemas.microsoft.com/office/drawing/2014/main" id="{CB9AF722-5BA2-4E72-A508-10645F543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180975</xdr:colOff>
      <xdr:row>7</xdr:row>
      <xdr:rowOff>90487</xdr:rowOff>
    </xdr:from>
    <xdr:to>
      <xdr:col>10</xdr:col>
      <xdr:colOff>485775</xdr:colOff>
      <xdr:row>21</xdr:row>
      <xdr:rowOff>166687</xdr:rowOff>
    </xdr:to>
    <xdr:graphicFrame macro="">
      <xdr:nvGraphicFramePr>
        <xdr:cNvPr id="4" name="Chart 3">
          <a:extLst>
            <a:ext uri="{FF2B5EF4-FFF2-40B4-BE49-F238E27FC236}">
              <a16:creationId xmlns:a16="http://schemas.microsoft.com/office/drawing/2014/main" id="{EE299D02-7EE0-44C0-B824-1A858B259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252412</xdr:colOff>
      <xdr:row>7</xdr:row>
      <xdr:rowOff>90487</xdr:rowOff>
    </xdr:from>
    <xdr:to>
      <xdr:col>12</xdr:col>
      <xdr:colOff>557212</xdr:colOff>
      <xdr:row>21</xdr:row>
      <xdr:rowOff>166687</xdr:rowOff>
    </xdr:to>
    <xdr:graphicFrame macro="">
      <xdr:nvGraphicFramePr>
        <xdr:cNvPr id="3" name="Chart 2">
          <a:extLst>
            <a:ext uri="{FF2B5EF4-FFF2-40B4-BE49-F238E27FC236}">
              <a16:creationId xmlns:a16="http://schemas.microsoft.com/office/drawing/2014/main" id="{84A81750-693A-4EB7-9882-12CE92B9C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223837</xdr:colOff>
      <xdr:row>7</xdr:row>
      <xdr:rowOff>90487</xdr:rowOff>
    </xdr:from>
    <xdr:to>
      <xdr:col>12</xdr:col>
      <xdr:colOff>528637</xdr:colOff>
      <xdr:row>21</xdr:row>
      <xdr:rowOff>166687</xdr:rowOff>
    </xdr:to>
    <xdr:graphicFrame macro="">
      <xdr:nvGraphicFramePr>
        <xdr:cNvPr id="2" name="Chart 1">
          <a:extLst>
            <a:ext uri="{FF2B5EF4-FFF2-40B4-BE49-F238E27FC236}">
              <a16:creationId xmlns:a16="http://schemas.microsoft.com/office/drawing/2014/main" id="{20B467B2-01D1-4FFB-BCFE-FAE55D3D5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209550</xdr:colOff>
      <xdr:row>7</xdr:row>
      <xdr:rowOff>90487</xdr:rowOff>
    </xdr:from>
    <xdr:to>
      <xdr:col>10</xdr:col>
      <xdr:colOff>514350</xdr:colOff>
      <xdr:row>21</xdr:row>
      <xdr:rowOff>166687</xdr:rowOff>
    </xdr:to>
    <xdr:graphicFrame macro="">
      <xdr:nvGraphicFramePr>
        <xdr:cNvPr id="3" name="Chart 2">
          <a:extLst>
            <a:ext uri="{FF2B5EF4-FFF2-40B4-BE49-F238E27FC236}">
              <a16:creationId xmlns:a16="http://schemas.microsoft.com/office/drawing/2014/main" id="{DCCDFD0B-2C44-4D35-9ADB-91764F48B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347662</xdr:colOff>
      <xdr:row>7</xdr:row>
      <xdr:rowOff>90487</xdr:rowOff>
    </xdr:from>
    <xdr:to>
      <xdr:col>13</xdr:col>
      <xdr:colOff>42862</xdr:colOff>
      <xdr:row>21</xdr:row>
      <xdr:rowOff>166687</xdr:rowOff>
    </xdr:to>
    <xdr:graphicFrame macro="">
      <xdr:nvGraphicFramePr>
        <xdr:cNvPr id="2" name="Chart 1">
          <a:extLst>
            <a:ext uri="{FF2B5EF4-FFF2-40B4-BE49-F238E27FC236}">
              <a16:creationId xmlns:a16="http://schemas.microsoft.com/office/drawing/2014/main" id="{180DAB27-4717-4A4C-A8EE-990B2C837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347662</xdr:colOff>
      <xdr:row>7</xdr:row>
      <xdr:rowOff>90487</xdr:rowOff>
    </xdr:from>
    <xdr:to>
      <xdr:col>13</xdr:col>
      <xdr:colOff>42862</xdr:colOff>
      <xdr:row>21</xdr:row>
      <xdr:rowOff>166687</xdr:rowOff>
    </xdr:to>
    <xdr:graphicFrame macro="">
      <xdr:nvGraphicFramePr>
        <xdr:cNvPr id="2" name="Chart 1">
          <a:extLst>
            <a:ext uri="{FF2B5EF4-FFF2-40B4-BE49-F238E27FC236}">
              <a16:creationId xmlns:a16="http://schemas.microsoft.com/office/drawing/2014/main" id="{1457B751-99A6-4DFC-88EC-2AD12DC53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xdr:colOff>
      <xdr:row>3</xdr:row>
      <xdr:rowOff>0</xdr:rowOff>
    </xdr:from>
    <xdr:to>
      <xdr:col>4</xdr:col>
      <xdr:colOff>789214</xdr:colOff>
      <xdr:row>17</xdr:row>
      <xdr:rowOff>57151</xdr:rowOff>
    </xdr:to>
    <xdr:graphicFrame macro="">
      <xdr:nvGraphicFramePr>
        <xdr:cNvPr id="5" name="Chart 4">
          <a:extLst>
            <a:ext uri="{FF2B5EF4-FFF2-40B4-BE49-F238E27FC236}">
              <a16:creationId xmlns:a16="http://schemas.microsoft.com/office/drawing/2014/main" id="{C205F245-4166-4617-BA20-5AAACB31A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789214</xdr:colOff>
      <xdr:row>3</xdr:row>
      <xdr:rowOff>13607</xdr:rowOff>
    </xdr:from>
    <xdr:to>
      <xdr:col>11</xdr:col>
      <xdr:colOff>217715</xdr:colOff>
      <xdr:row>17</xdr:row>
      <xdr:rowOff>76201</xdr:rowOff>
    </xdr:to>
    <xdr:graphicFrame macro="">
      <xdr:nvGraphicFramePr>
        <xdr:cNvPr id="7" name="Chart 6">
          <a:extLst>
            <a:ext uri="{FF2B5EF4-FFF2-40B4-BE49-F238E27FC236}">
              <a16:creationId xmlns:a16="http://schemas.microsoft.com/office/drawing/2014/main" id="{FEECEB11-5B46-4148-A8A5-AB6428A0B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17</xdr:row>
      <xdr:rowOff>47626</xdr:rowOff>
    </xdr:from>
    <xdr:to>
      <xdr:col>4</xdr:col>
      <xdr:colOff>830036</xdr:colOff>
      <xdr:row>29</xdr:row>
      <xdr:rowOff>81642</xdr:rowOff>
    </xdr:to>
    <xdr:graphicFrame macro="">
      <xdr:nvGraphicFramePr>
        <xdr:cNvPr id="9" name="Chart 8">
          <a:extLst>
            <a:ext uri="{FF2B5EF4-FFF2-40B4-BE49-F238E27FC236}">
              <a16:creationId xmlns:a16="http://schemas.microsoft.com/office/drawing/2014/main" id="{364D711D-64FC-4D90-BC03-B4A513A0A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748394</xdr:colOff>
      <xdr:row>17</xdr:row>
      <xdr:rowOff>95249</xdr:rowOff>
    </xdr:from>
    <xdr:to>
      <xdr:col>11</xdr:col>
      <xdr:colOff>204107</xdr:colOff>
      <xdr:row>30</xdr:row>
      <xdr:rowOff>176892</xdr:rowOff>
    </xdr:to>
    <xdr:graphicFrame macro="">
      <xdr:nvGraphicFramePr>
        <xdr:cNvPr id="10" name="Chart 9">
          <a:extLst>
            <a:ext uri="{FF2B5EF4-FFF2-40B4-BE49-F238E27FC236}">
              <a16:creationId xmlns:a16="http://schemas.microsoft.com/office/drawing/2014/main" id="{755C08BD-446B-4BB0-8C63-E0859DAFD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xdr:colOff>
      <xdr:row>29</xdr:row>
      <xdr:rowOff>-1</xdr:rowOff>
    </xdr:from>
    <xdr:to>
      <xdr:col>4</xdr:col>
      <xdr:colOff>816430</xdr:colOff>
      <xdr:row>44</xdr:row>
      <xdr:rowOff>108857</xdr:rowOff>
    </xdr:to>
    <xdr:graphicFrame macro="">
      <xdr:nvGraphicFramePr>
        <xdr:cNvPr id="11" name="Chart 10">
          <a:extLst>
            <a:ext uri="{FF2B5EF4-FFF2-40B4-BE49-F238E27FC236}">
              <a16:creationId xmlns:a16="http://schemas.microsoft.com/office/drawing/2014/main" id="{3C922BD9-E225-4F1C-9357-79C245BF3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830037</xdr:colOff>
      <xdr:row>30</xdr:row>
      <xdr:rowOff>176893</xdr:rowOff>
    </xdr:from>
    <xdr:to>
      <xdr:col>11</xdr:col>
      <xdr:colOff>244929</xdr:colOff>
      <xdr:row>44</xdr:row>
      <xdr:rowOff>13607</xdr:rowOff>
    </xdr:to>
    <xdr:graphicFrame macro="">
      <xdr:nvGraphicFramePr>
        <xdr:cNvPr id="12" name="Chart 11">
          <a:extLst>
            <a:ext uri="{FF2B5EF4-FFF2-40B4-BE49-F238E27FC236}">
              <a16:creationId xmlns:a16="http://schemas.microsoft.com/office/drawing/2014/main" id="{A658EAA2-F63C-486D-B216-32FC5C4BB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xdr:colOff>
      <xdr:row>44</xdr:row>
      <xdr:rowOff>122465</xdr:rowOff>
    </xdr:from>
    <xdr:to>
      <xdr:col>4</xdr:col>
      <xdr:colOff>884464</xdr:colOff>
      <xdr:row>58</xdr:row>
      <xdr:rowOff>381001</xdr:rowOff>
    </xdr:to>
    <xdr:graphicFrame macro="">
      <xdr:nvGraphicFramePr>
        <xdr:cNvPr id="14" name="Chart 13">
          <a:extLst>
            <a:ext uri="{FF2B5EF4-FFF2-40B4-BE49-F238E27FC236}">
              <a16:creationId xmlns:a16="http://schemas.microsoft.com/office/drawing/2014/main" id="{40A2C575-9E2D-4B9C-9EEA-103C635AC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163287</xdr:colOff>
      <xdr:row>29</xdr:row>
      <xdr:rowOff>136071</xdr:rowOff>
    </xdr:from>
    <xdr:to>
      <xdr:col>14</xdr:col>
      <xdr:colOff>163286</xdr:colOff>
      <xdr:row>42</xdr:row>
      <xdr:rowOff>183696</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1571773B-41FA-4340-9E52-29C461D9AA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580430" y="6966857"/>
              <a:ext cx="1836963"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95249</xdr:colOff>
      <xdr:row>3</xdr:row>
      <xdr:rowOff>27214</xdr:rowOff>
    </xdr:from>
    <xdr:to>
      <xdr:col>14</xdr:col>
      <xdr:colOff>95248</xdr:colOff>
      <xdr:row>16</xdr:row>
      <xdr:rowOff>74839</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41E4A3F8-857D-4607-9C65-E2C91D08371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512392" y="1891393"/>
              <a:ext cx="1836963" cy="253773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122464</xdr:colOff>
      <xdr:row>16</xdr:row>
      <xdr:rowOff>68035</xdr:rowOff>
    </xdr:from>
    <xdr:to>
      <xdr:col>14</xdr:col>
      <xdr:colOff>122463</xdr:colOff>
      <xdr:row>29</xdr:row>
      <xdr:rowOff>115660</xdr:rowOff>
    </xdr:to>
    <mc:AlternateContent xmlns:mc="http://schemas.openxmlformats.org/markup-compatibility/2006">
      <mc:Choice xmlns:a14="http://schemas.microsoft.com/office/drawing/2010/main" Requires="a14">
        <xdr:graphicFrame macro="">
          <xdr:nvGraphicFramePr>
            <xdr:cNvPr id="20" name="Salesperson">
              <a:extLst>
                <a:ext uri="{FF2B5EF4-FFF2-40B4-BE49-F238E27FC236}">
                  <a16:creationId xmlns:a16="http://schemas.microsoft.com/office/drawing/2014/main" id="{E5F0554A-F62D-4800-8589-48A47C37B32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7539607" y="4422321"/>
              <a:ext cx="1836963"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1102178</xdr:colOff>
      <xdr:row>45</xdr:row>
      <xdr:rowOff>40821</xdr:rowOff>
    </xdr:from>
    <xdr:to>
      <xdr:col>10</xdr:col>
      <xdr:colOff>557892</xdr:colOff>
      <xdr:row>58</xdr:row>
      <xdr:rowOff>40821</xdr:rowOff>
    </xdr:to>
    <xdr:sp macro="" textlink="">
      <xdr:nvSpPr>
        <xdr:cNvPr id="2" name="TextBox 1">
          <a:extLst>
            <a:ext uri="{FF2B5EF4-FFF2-40B4-BE49-F238E27FC236}">
              <a16:creationId xmlns:a16="http://schemas.microsoft.com/office/drawing/2014/main" id="{1487233E-6012-430B-B27C-0AD27D35B7D5}"/>
            </a:ext>
          </a:extLst>
        </xdr:cNvPr>
        <xdr:cNvSpPr txBox="1"/>
      </xdr:nvSpPr>
      <xdr:spPr>
        <a:xfrm>
          <a:off x="8055428" y="9252857"/>
          <a:ext cx="4776107" cy="247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u="sng">
              <a:latin typeface="Book Antiqua" panose="02040602050305030304" pitchFamily="18" charset="0"/>
            </a:rPr>
            <a:t>KEY INSIGHTS</a:t>
          </a:r>
          <a:endParaRPr lang="en-US" sz="1800">
            <a:latin typeface="Book Antiqua" panose="02040602050305030304" pitchFamily="18" charset="0"/>
          </a:endParaRPr>
        </a:p>
        <a:p>
          <a:r>
            <a:rPr lang="en-US" sz="1800"/>
            <a:t>• Office Supplies generated the highest profit.</a:t>
          </a:r>
        </a:p>
        <a:p>
          <a:r>
            <a:rPr lang="en-US" sz="1800"/>
            <a:t>• Nakuru recorded the highest sales.</a:t>
          </a:r>
        </a:p>
        <a:p>
          <a:r>
            <a:rPr lang="en-US" sz="1800"/>
            <a:t>• Sales peaked in June and October.</a:t>
          </a:r>
        </a:p>
        <a:p>
          <a:r>
            <a:rPr lang="en-US" sz="1800"/>
            <a:t>• Peter achieved the highest sales.</a:t>
          </a:r>
        </a:p>
        <a:p>
          <a:r>
            <a:rPr lang="en-US" sz="1800"/>
            <a:t>• June recorded the highest monthly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UNDU" refreshedDate="46218.416325231483" createdVersion="4" refreshedVersion="4" minRefreshableVersion="3" recordCount="1000" xr:uid="{00000000-000A-0000-FFFF-FFFF05000000}">
  <cacheSource type="worksheet">
    <worksheetSource ref="A1:K1001" sheet="RetailSales"/>
  </cacheSource>
  <cacheFields count="11">
    <cacheField name="Order ID" numFmtId="0">
      <sharedItems containsSemiMixedTypes="0" containsString="0" containsNumber="1" containsInteger="1" minValue="1001" maxValue="2000"/>
    </cacheField>
    <cacheField name="Order Date" numFmtId="164">
      <sharedItems containsSemiMixedTypes="0" containsNonDate="0" containsDate="1" containsString="0" minDate="2025-01-01T00:00:00" maxDate="2026-01-01T00:00:00"/>
    </cacheField>
    <cacheField name="Region" numFmtId="0">
      <sharedItems count="5">
        <s v="Mombasa"/>
        <s v="Nairobi"/>
        <s v="Eldoret"/>
        <s v="Nakuru"/>
        <s v="Kisumu"/>
      </sharedItems>
    </cacheField>
    <cacheField name="Category" numFmtId="0">
      <sharedItems count="3">
        <s v="Office Supplies"/>
        <s v="Electronics"/>
        <s v="Furniture"/>
      </sharedItems>
    </cacheField>
    <cacheField name="Product" numFmtId="0">
      <sharedItems count="9">
        <s v="Paper"/>
        <s v="Headphones"/>
        <s v="Laptop"/>
        <s v="Phone"/>
        <s v="Chair"/>
        <s v="Desk"/>
        <s v="Cabinet"/>
        <s v="Notebook"/>
        <s v="Pens"/>
      </sharedItems>
    </cacheField>
    <cacheField name="Quantity" numFmtId="0">
      <sharedItems containsSemiMixedTypes="0" containsString="0" containsNumber="1" containsInteger="1" minValue="1" maxValue="10" count="10">
        <n v="1"/>
        <n v="9"/>
        <n v="10"/>
        <n v="5"/>
        <n v="6"/>
        <n v="2"/>
        <n v="7"/>
        <n v="3"/>
        <n v="4"/>
        <n v="8"/>
      </sharedItems>
    </cacheField>
    <cacheField name="Unit Price" numFmtId="0">
      <sharedItems containsSemiMixedTypes="0" containsString="0" containsNumber="1" containsInteger="1" minValue="150" maxValue="12000"/>
    </cacheField>
    <cacheField name="Sales" numFmtId="0">
      <sharedItems containsSemiMixedTypes="0" containsString="0" containsNumber="1" containsInteger="1" minValue="150" maxValue="120000"/>
    </cacheField>
    <cacheField name="Cost" numFmtId="0">
      <sharedItems containsSemiMixedTypes="0" containsString="0" containsNumber="1" minValue="93.23" maxValue="104121.54"/>
    </cacheField>
    <cacheField name="Profit" numFmtId="0">
      <sharedItems containsSemiMixedTypes="0" containsString="0" containsNumber="1" minValue="16.02" maxValue="52851.27"/>
    </cacheField>
    <cacheField name="Salesperso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UNDU" refreshedDate="46224.454091087966" createdVersion="6" refreshedVersion="6" minRefreshableVersion="3" recordCount="1000" xr:uid="{25CB0285-B518-41EE-8EB9-FCFEE20A6036}">
  <cacheSource type="worksheet">
    <worksheetSource name="Table1"/>
  </cacheSource>
  <cacheFields count="12">
    <cacheField name="Order ID" numFmtId="0">
      <sharedItems containsSemiMixedTypes="0" containsString="0" containsNumber="1" containsInteger="1" minValue="1001" maxValue="2000" count="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sharedItems>
    </cacheField>
    <cacheField name="Order Date" numFmtId="164">
      <sharedItems containsSemiMixedTypes="0" containsNonDate="0" containsDate="1" containsString="0" minDate="2025-01-01T00:00:00" maxDate="2026-01-01T00:00:00" count="345">
        <d v="2025-04-25T00:00:00"/>
        <d v="2025-01-17T00:00:00"/>
        <d v="2025-04-12T00:00:00"/>
        <d v="2025-01-04T00:00:00"/>
        <d v="2025-06-22T00:00:00"/>
        <d v="2025-05-16T00:00:00"/>
        <d v="2025-05-31T00:00:00"/>
        <d v="2025-05-29T00:00:00"/>
        <d v="2025-07-06T00:00:00"/>
        <d v="2025-11-28T00:00:00"/>
        <d v="2025-08-25T00:00:00"/>
        <d v="2025-01-29T00:00:00"/>
        <d v="2025-10-18T00:00:00"/>
        <d v="2025-08-08T00:00:00"/>
        <d v="2025-01-25T00:00:00"/>
        <d v="2025-07-15T00:00:00"/>
        <d v="2025-12-15T00:00:00"/>
        <d v="2025-03-22T00:00:00"/>
        <d v="2025-09-17T00:00:00"/>
        <d v="2025-07-11T00:00:00"/>
        <d v="2025-02-27T00:00:00"/>
        <d v="2025-02-13T00:00:00"/>
        <d v="2025-10-09T00:00:00"/>
        <d v="2025-12-20T00:00:00"/>
        <d v="2025-08-20T00:00:00"/>
        <d v="2025-04-28T00:00:00"/>
        <d v="2025-10-04T00:00:00"/>
        <d v="2025-07-28T00:00:00"/>
        <d v="2025-08-28T00:00:00"/>
        <d v="2025-06-23T00:00:00"/>
        <d v="2025-04-04T00:00:00"/>
        <d v="2025-05-02T00:00:00"/>
        <d v="2025-01-31T00:00:00"/>
        <d v="2025-05-27T00:00:00"/>
        <d v="2025-04-22T00:00:00"/>
        <d v="2025-01-26T00:00:00"/>
        <d v="2025-02-11T00:00:00"/>
        <d v="2025-10-19T00:00:00"/>
        <d v="2025-10-26T00:00:00"/>
        <d v="2025-05-03T00:00:00"/>
        <d v="2025-02-07T00:00:00"/>
        <d v="2025-08-13T00:00:00"/>
        <d v="2025-10-11T00:00:00"/>
        <d v="2025-12-18T00:00:00"/>
        <d v="2025-05-22T00:00:00"/>
        <d v="2025-10-10T00:00:00"/>
        <d v="2025-10-07T00:00:00"/>
        <d v="2025-06-07T00:00:00"/>
        <d v="2025-10-14T00:00:00"/>
        <d v="2025-04-01T00:00:00"/>
        <d v="2025-12-09T00:00:00"/>
        <d v="2025-08-29T00:00:00"/>
        <d v="2025-04-27T00:00:00"/>
        <d v="2025-02-05T00:00:00"/>
        <d v="2025-10-02T00:00:00"/>
        <d v="2025-08-12T00:00:00"/>
        <d v="2025-12-29T00:00:00"/>
        <d v="2025-12-07T00:00:00"/>
        <d v="2025-03-07T00:00:00"/>
        <d v="2025-07-27T00:00:00"/>
        <d v="2025-11-07T00:00:00"/>
        <d v="2025-03-28T00:00:00"/>
        <d v="2025-05-01T00:00:00"/>
        <d v="2025-09-01T00:00:00"/>
        <d v="2025-07-16T00:00:00"/>
        <d v="2025-02-24T00:00:00"/>
        <d v="2025-05-08T00:00:00"/>
        <d v="2025-08-15T00:00:00"/>
        <d v="2025-09-06T00:00:00"/>
        <d v="2025-06-13T00:00:00"/>
        <d v="2025-12-28T00:00:00"/>
        <d v="2025-02-01T00:00:00"/>
        <d v="2025-10-22T00:00:00"/>
        <d v="2025-08-03T00:00:00"/>
        <d v="2025-05-20T00:00:00"/>
        <d v="2025-10-31T00:00:00"/>
        <d v="2025-07-14T00:00:00"/>
        <d v="2025-01-27T00:00:00"/>
        <d v="2025-05-07T00:00:00"/>
        <d v="2025-02-28T00:00:00"/>
        <d v="2025-01-14T00:00:00"/>
        <d v="2025-10-17T00:00:00"/>
        <d v="2025-06-24T00:00:00"/>
        <d v="2025-08-24T00:00:00"/>
        <d v="2025-10-03T00:00:00"/>
        <d v="2025-05-06T00:00:00"/>
        <d v="2025-05-13T00:00:00"/>
        <d v="2025-04-08T00:00:00"/>
        <d v="2025-08-31T00:00:00"/>
        <d v="2025-08-21T00:00:00"/>
        <d v="2025-03-03T00:00:00"/>
        <d v="2025-10-29T00:00:00"/>
        <d v="2025-04-02T00:00:00"/>
        <d v="2025-01-28T00:00:00"/>
        <d v="2025-10-21T00:00:00"/>
        <d v="2025-05-10T00:00:00"/>
        <d v="2025-03-02T00:00:00"/>
        <d v="2025-12-19T00:00:00"/>
        <d v="2025-12-26T00:00:00"/>
        <d v="2025-05-17T00:00:00"/>
        <d v="2025-08-10T00:00:00"/>
        <d v="2025-03-31T00:00:00"/>
        <d v="2025-02-23T00:00:00"/>
        <d v="2025-07-25T00:00:00"/>
        <d v="2025-07-26T00:00:00"/>
        <d v="2025-09-23T00:00:00"/>
        <d v="2025-11-19T00:00:00"/>
        <d v="2025-09-13T00:00:00"/>
        <d v="2025-08-30T00:00:00"/>
        <d v="2025-09-18T00:00:00"/>
        <d v="2025-01-02T00:00:00"/>
        <d v="2025-03-18T00:00:00"/>
        <d v="2025-07-13T00:00:00"/>
        <d v="2025-07-30T00:00:00"/>
        <d v="2025-11-30T00:00:00"/>
        <d v="2025-02-21T00:00:00"/>
        <d v="2025-12-02T00:00:00"/>
        <d v="2025-11-29T00:00:00"/>
        <d v="2025-09-07T00:00:00"/>
        <d v="2025-05-28T00:00:00"/>
        <d v="2025-12-16T00:00:00"/>
        <d v="2025-06-04T00:00:00"/>
        <d v="2025-12-04T00:00:00"/>
        <d v="2025-01-18T00:00:00"/>
        <d v="2025-08-01T00:00:00"/>
        <d v="2025-02-08T00:00:00"/>
        <d v="2025-07-07T00:00:00"/>
        <d v="2025-12-11T00:00:00"/>
        <d v="2025-11-22T00:00:00"/>
        <d v="2025-01-20T00:00:00"/>
        <d v="2025-03-21T00:00:00"/>
        <d v="2025-05-24T00:00:00"/>
        <d v="2025-07-05T00:00:00"/>
        <d v="2025-01-11T00:00:00"/>
        <d v="2025-11-02T00:00:00"/>
        <d v="2025-02-26T00:00:00"/>
        <d v="2025-02-02T00:00:00"/>
        <d v="2025-04-24T00:00:00"/>
        <d v="2025-01-16T00:00:00"/>
        <d v="2025-08-16T00:00:00"/>
        <d v="2025-11-16T00:00:00"/>
        <d v="2025-07-24T00:00:00"/>
        <d v="2025-10-15T00:00:00"/>
        <d v="2025-08-05T00:00:00"/>
        <d v="2025-04-19T00:00:00"/>
        <d v="2025-07-08T00:00:00"/>
        <d v="2025-11-15T00:00:00"/>
        <d v="2025-12-22T00:00:00"/>
        <d v="2025-04-03T00:00:00"/>
        <d v="2025-08-06T00:00:00"/>
        <d v="2025-08-09T00:00:00"/>
        <d v="2025-02-09T00:00:00"/>
        <d v="2025-09-26T00:00:00"/>
        <d v="2025-06-28T00:00:00"/>
        <d v="2025-11-18T00:00:00"/>
        <d v="2025-02-16T00:00:00"/>
        <d v="2025-01-22T00:00:00"/>
        <d v="2025-03-19T00:00:00"/>
        <d v="2025-01-21T00:00:00"/>
        <d v="2025-11-20T00:00:00"/>
        <d v="2025-06-29T00:00:00"/>
        <d v="2025-03-12T00:00:00"/>
        <d v="2025-09-27T00:00:00"/>
        <d v="2025-03-25T00:00:00"/>
        <d v="2025-12-13T00:00:00"/>
        <d v="2025-06-08T00:00:00"/>
        <d v="2025-05-25T00:00:00"/>
        <d v="2025-11-06T00:00:00"/>
        <d v="2025-02-22T00:00:00"/>
        <d v="2025-09-20T00:00:00"/>
        <d v="2025-02-10T00:00:00"/>
        <d v="2025-11-24T00:00:00"/>
        <d v="2025-11-11T00:00:00"/>
        <d v="2025-01-09T00:00:00"/>
        <d v="2025-06-20T00:00:00"/>
        <d v="2025-12-17T00:00:00"/>
        <d v="2025-08-23T00:00:00"/>
        <d v="2025-09-12T00:00:00"/>
        <d v="2025-12-05T00:00:00"/>
        <d v="2025-01-30T00:00:00"/>
        <d v="2025-12-14T00:00:00"/>
        <d v="2025-08-19T00:00:00"/>
        <d v="2025-07-23T00:00:00"/>
        <d v="2025-08-17T00:00:00"/>
        <d v="2025-09-03T00:00:00"/>
        <d v="2025-11-25T00:00:00"/>
        <d v="2025-03-05T00:00:00"/>
        <d v="2025-04-26T00:00:00"/>
        <d v="2025-10-23T00:00:00"/>
        <d v="2025-09-05T00:00:00"/>
        <d v="2025-05-04T00:00:00"/>
        <d v="2025-04-21T00:00:00"/>
        <d v="2025-12-01T00:00:00"/>
        <d v="2025-04-10T00:00:00"/>
        <d v="2025-07-21T00:00:00"/>
        <d v="2025-11-10T00:00:00"/>
        <d v="2025-03-17T00:00:00"/>
        <d v="2025-06-10T00:00:00"/>
        <d v="2025-06-16T00:00:00"/>
        <d v="2025-06-25T00:00:00"/>
        <d v="2025-04-17T00:00:00"/>
        <d v="2025-03-16T00:00:00"/>
        <d v="2025-02-15T00:00:00"/>
        <d v="2025-09-10T00:00:00"/>
        <d v="2025-06-01T00:00:00"/>
        <d v="2025-03-13T00:00:00"/>
        <d v="2025-07-04T00:00:00"/>
        <d v="2025-12-27T00:00:00"/>
        <d v="2025-09-16T00:00:00"/>
        <d v="2025-09-19T00:00:00"/>
        <d v="2025-10-05T00:00:00"/>
        <d v="2025-03-11T00:00:00"/>
        <d v="2025-06-02T00:00:00"/>
        <d v="2025-06-14T00:00:00"/>
        <d v="2025-05-21T00:00:00"/>
        <d v="2025-10-12T00:00:00"/>
        <d v="2025-12-23T00:00:00"/>
        <d v="2025-05-11T00:00:00"/>
        <d v="2025-05-14T00:00:00"/>
        <d v="2025-01-05T00:00:00"/>
        <d v="2025-11-12T00:00:00"/>
        <d v="2025-01-07T00:00:00"/>
        <d v="2025-12-24T00:00:00"/>
        <d v="2025-11-14T00:00:00"/>
        <d v="2025-11-23T00:00:00"/>
        <d v="2025-06-19T00:00:00"/>
        <d v="2025-12-21T00:00:00"/>
        <d v="2025-10-06T00:00:00"/>
        <d v="2025-10-28T00:00:00"/>
        <d v="2025-11-21T00:00:00"/>
        <d v="2025-08-18T00:00:00"/>
        <d v="2025-07-18T00:00:00"/>
        <d v="2025-03-27T00:00:00"/>
        <d v="2025-05-09T00:00:00"/>
        <d v="2025-06-18T00:00:00"/>
        <d v="2025-11-05T00:00:00"/>
        <d v="2025-07-20T00:00:00"/>
        <d v="2025-01-13T00:00:00"/>
        <d v="2025-03-14T00:00:00"/>
        <d v="2025-01-23T00:00:00"/>
        <d v="2025-05-05T00:00:00"/>
        <d v="2025-07-22T00:00:00"/>
        <d v="2025-01-03T00:00:00"/>
        <d v="2025-09-08T00:00:00"/>
        <d v="2025-06-06T00:00:00"/>
        <d v="2025-12-30T00:00:00"/>
        <d v="2025-04-23T00:00:00"/>
        <d v="2025-05-18T00:00:00"/>
        <d v="2025-04-18T00:00:00"/>
        <d v="2025-09-21T00:00:00"/>
        <d v="2025-02-17T00:00:00"/>
        <d v="2025-10-01T00:00:00"/>
        <d v="2025-05-26T00:00:00"/>
        <d v="2025-04-30T00:00:00"/>
        <d v="2025-03-10T00:00:00"/>
        <d v="2025-08-14T00:00:00"/>
        <d v="2025-11-01T00:00:00"/>
        <d v="2025-02-12T00:00:00"/>
        <d v="2025-08-11T00:00:00"/>
        <d v="2025-12-03T00:00:00"/>
        <d v="2025-12-31T00:00:00"/>
        <d v="2025-01-19T00:00:00"/>
        <d v="2025-08-02T00:00:00"/>
        <d v="2025-05-30T00:00:00"/>
        <d v="2025-04-29T00:00:00"/>
        <d v="2025-02-18T00:00:00"/>
        <d v="2025-06-17T00:00:00"/>
        <d v="2025-10-27T00:00:00"/>
        <d v="2025-04-06T00:00:00"/>
        <d v="2025-06-26T00:00:00"/>
        <d v="2025-06-12T00:00:00"/>
        <d v="2025-10-16T00:00:00"/>
        <d v="2025-06-15T00:00:00"/>
        <d v="2025-01-01T00:00:00"/>
        <d v="2025-07-12T00:00:00"/>
        <d v="2025-10-20T00:00:00"/>
        <d v="2025-09-25T00:00:00"/>
        <d v="2025-04-09T00:00:00"/>
        <d v="2025-12-25T00:00:00"/>
        <d v="2025-11-08T00:00:00"/>
        <d v="2025-06-09T00:00:00"/>
        <d v="2025-04-13T00:00:00"/>
        <d v="2025-07-10T00:00:00"/>
        <d v="2025-12-06T00:00:00"/>
        <d v="2025-02-25T00:00:00"/>
        <d v="2025-11-04T00:00:00"/>
        <d v="2025-09-02T00:00:00"/>
        <d v="2025-01-08T00:00:00"/>
        <d v="2025-04-07T00:00:00"/>
        <d v="2025-05-15T00:00:00"/>
        <d v="2025-10-08T00:00:00"/>
        <d v="2025-12-10T00:00:00"/>
        <d v="2025-01-24T00:00:00"/>
        <d v="2025-08-04T00:00:00"/>
        <d v="2025-07-03T00:00:00"/>
        <d v="2025-10-13T00:00:00"/>
        <d v="2025-09-11T00:00:00"/>
        <d v="2025-06-11T00:00:00"/>
        <d v="2025-04-11T00:00:00"/>
        <d v="2025-05-23T00:00:00"/>
        <d v="2025-11-17T00:00:00"/>
        <d v="2025-03-23T00:00:00"/>
        <d v="2025-04-20T00:00:00"/>
        <d v="2025-02-06T00:00:00"/>
        <d v="2025-07-19T00:00:00"/>
        <d v="2025-11-27T00:00:00"/>
        <d v="2025-02-20T00:00:00"/>
        <d v="2025-01-10T00:00:00"/>
        <d v="2025-10-24T00:00:00"/>
        <d v="2025-03-24T00:00:00"/>
        <d v="2025-05-12T00:00:00"/>
        <d v="2025-03-01T00:00:00"/>
        <d v="2025-06-27T00:00:00"/>
        <d v="2025-03-04T00:00:00"/>
        <d v="2025-03-06T00:00:00"/>
        <d v="2025-03-09T00:00:00"/>
        <d v="2025-09-04T00:00:00"/>
        <d v="2025-09-24T00:00:00"/>
        <d v="2025-09-28T00:00:00"/>
        <d v="2025-02-19T00:00:00"/>
        <d v="2025-06-21T00:00:00"/>
        <d v="2025-04-15T00:00:00"/>
        <d v="2025-09-14T00:00:00"/>
        <d v="2025-03-20T00:00:00"/>
        <d v="2025-08-22T00:00:00"/>
        <d v="2025-06-05T00:00:00"/>
        <d v="2025-11-09T00:00:00"/>
        <d v="2025-08-07T00:00:00"/>
        <d v="2025-07-31T00:00:00"/>
        <d v="2025-04-14T00:00:00"/>
        <d v="2025-05-19T00:00:00"/>
        <d v="2025-12-12T00:00:00"/>
        <d v="2025-11-26T00:00:00"/>
        <d v="2025-06-03T00:00:00"/>
        <d v="2025-09-30T00:00:00"/>
        <d v="2025-09-29T00:00:00"/>
        <d v="2025-03-08T00:00:00"/>
        <d v="2025-09-09T00:00:00"/>
        <d v="2025-10-30T00:00:00"/>
        <d v="2025-03-30T00:00:00"/>
        <d v="2025-01-15T00:00:00"/>
        <d v="2025-04-05T00:00:00"/>
        <d v="2025-07-17T00:00:00"/>
        <d v="2025-11-13T00:00:00"/>
        <d v="2025-10-25T00:00:00"/>
      </sharedItems>
      <fieldGroup par="11"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Region" numFmtId="0">
      <sharedItems count="5">
        <s v="Mombasa"/>
        <s v="Nairobi"/>
        <s v="Eldoret"/>
        <s v="Nakuru"/>
        <s v="Kisumu"/>
      </sharedItems>
    </cacheField>
    <cacheField name="Category" numFmtId="0">
      <sharedItems count="3">
        <s v="Office Supplies"/>
        <s v="Electronics"/>
        <s v="Furniture"/>
      </sharedItems>
    </cacheField>
    <cacheField name="Product" numFmtId="0">
      <sharedItems count="9">
        <s v="Paper"/>
        <s v="Headphones"/>
        <s v="Laptop"/>
        <s v="Phone"/>
        <s v="Chair"/>
        <s v="Desk"/>
        <s v="Cabinet"/>
        <s v="Notebook"/>
        <s v="Pens"/>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150" maxValue="12000"/>
    </cacheField>
    <cacheField name="Sales" numFmtId="0">
      <sharedItems containsSemiMixedTypes="0" containsString="0" containsNumber="1" containsInteger="1" minValue="150" maxValue="120000"/>
    </cacheField>
    <cacheField name="Cost" numFmtId="0">
      <sharedItems containsSemiMixedTypes="0" containsString="0" containsNumber="1" minValue="93.23" maxValue="104121.54"/>
    </cacheField>
    <cacheField name="Profit" numFmtId="0">
      <sharedItems containsSemiMixedTypes="0" containsString="0" containsNumber="1" minValue="16.02" maxValue="52851.27"/>
    </cacheField>
    <cacheField name="Salesperson" numFmtId="0">
      <sharedItems count="6">
        <s v="Peter"/>
        <s v="Amina"/>
        <s v="James"/>
        <s v="Faith"/>
        <s v="Brian"/>
        <s v="Lilian"/>
      </sharedItems>
    </cacheField>
    <cacheField name="Months"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316493597"/>
    </ext>
  </extLst>
</pivotCacheDefinition>
</file>

<file path=xl/pivotCache/pivotCacheRecords1.xml><?xml version="1.0" encoding="utf-8"?>
<pivotCacheRecords xmlns="http://schemas.openxmlformats.org/spreadsheetml/2006/main" xmlns:r="http://schemas.openxmlformats.org/officeDocument/2006/relationships" count="1000">
  <r>
    <n v="1001"/>
    <d v="2025-04-25T00:00:00"/>
    <x v="0"/>
    <x v="0"/>
    <x v="0"/>
    <x v="0"/>
    <n v="5000"/>
    <n v="5000"/>
    <n v="3231.3"/>
    <n v="1768.7"/>
    <s v="Peter"/>
  </r>
  <r>
    <n v="1002"/>
    <d v="2025-01-17T00:00:00"/>
    <x v="1"/>
    <x v="1"/>
    <x v="1"/>
    <x v="1"/>
    <n v="150"/>
    <n v="1350"/>
    <n v="1021.51"/>
    <n v="328.49"/>
    <s v="Amina"/>
  </r>
  <r>
    <n v="1003"/>
    <d v="2025-04-12T00:00:00"/>
    <x v="2"/>
    <x v="1"/>
    <x v="2"/>
    <x v="1"/>
    <n v="2500"/>
    <n v="22500"/>
    <n v="12583.97"/>
    <n v="9916.0300000000007"/>
    <s v="James"/>
  </r>
  <r>
    <n v="1004"/>
    <d v="2025-01-04T00:00:00"/>
    <x v="0"/>
    <x v="1"/>
    <x v="3"/>
    <x v="2"/>
    <n v="500"/>
    <n v="5000"/>
    <n v="4166.5"/>
    <n v="833.5"/>
    <s v="Peter"/>
  </r>
  <r>
    <n v="1005"/>
    <d v="2025-06-22T00:00:00"/>
    <x v="1"/>
    <x v="2"/>
    <x v="4"/>
    <x v="3"/>
    <n v="250"/>
    <n v="1250"/>
    <n v="781.7"/>
    <n v="468.3"/>
    <s v="Amina"/>
  </r>
  <r>
    <n v="1006"/>
    <d v="2025-05-16T00:00:00"/>
    <x v="1"/>
    <x v="2"/>
    <x v="5"/>
    <x v="4"/>
    <n v="12000"/>
    <n v="72000"/>
    <n v="48267.68"/>
    <n v="23732.32"/>
    <s v="Peter"/>
  </r>
  <r>
    <n v="1007"/>
    <d v="2025-05-31T00:00:00"/>
    <x v="2"/>
    <x v="2"/>
    <x v="6"/>
    <x v="5"/>
    <n v="1200"/>
    <n v="2400"/>
    <n v="1386.19"/>
    <n v="1013.81"/>
    <s v="Faith"/>
  </r>
  <r>
    <n v="1008"/>
    <d v="2025-05-29T00:00:00"/>
    <x v="1"/>
    <x v="0"/>
    <x v="0"/>
    <x v="5"/>
    <n v="150"/>
    <n v="300"/>
    <n v="234.43"/>
    <n v="65.569999999999993"/>
    <s v="Brian"/>
  </r>
  <r>
    <n v="1009"/>
    <d v="2025-07-06T00:00:00"/>
    <x v="0"/>
    <x v="1"/>
    <x v="3"/>
    <x v="3"/>
    <n v="1200"/>
    <n v="6000"/>
    <n v="4634.9399999999996"/>
    <n v="1365.06"/>
    <s v="Faith"/>
  </r>
  <r>
    <n v="1010"/>
    <d v="2025-11-28T00:00:00"/>
    <x v="1"/>
    <x v="2"/>
    <x v="5"/>
    <x v="3"/>
    <n v="5000"/>
    <n v="25000"/>
    <n v="21945.73"/>
    <n v="3054.27"/>
    <s v="Lilian"/>
  </r>
  <r>
    <n v="1011"/>
    <d v="2025-08-25T00:00:00"/>
    <x v="3"/>
    <x v="0"/>
    <x v="0"/>
    <x v="1"/>
    <n v="5000"/>
    <n v="45000"/>
    <n v="28605.77"/>
    <n v="16394.23"/>
    <s v="Faith"/>
  </r>
  <r>
    <n v="1012"/>
    <d v="2025-01-29T00:00:00"/>
    <x v="0"/>
    <x v="0"/>
    <x v="7"/>
    <x v="1"/>
    <n v="250"/>
    <n v="2250"/>
    <n v="1776.63"/>
    <n v="473.37"/>
    <s v="Amina"/>
  </r>
  <r>
    <n v="1013"/>
    <d v="2025-10-18T00:00:00"/>
    <x v="4"/>
    <x v="2"/>
    <x v="4"/>
    <x v="3"/>
    <n v="150"/>
    <n v="750"/>
    <n v="467.88"/>
    <n v="282.12"/>
    <s v="Brian"/>
  </r>
  <r>
    <n v="1014"/>
    <d v="2025-05-16T00:00:00"/>
    <x v="0"/>
    <x v="0"/>
    <x v="8"/>
    <x v="6"/>
    <n v="5000"/>
    <n v="35000"/>
    <n v="24870.94"/>
    <n v="10129.06"/>
    <s v="Brian"/>
  </r>
  <r>
    <n v="1015"/>
    <d v="2025-08-08T00:00:00"/>
    <x v="2"/>
    <x v="0"/>
    <x v="7"/>
    <x v="1"/>
    <n v="500"/>
    <n v="4500"/>
    <n v="3651.55"/>
    <n v="848.45"/>
    <s v="James"/>
  </r>
  <r>
    <n v="1016"/>
    <d v="2025-01-25T00:00:00"/>
    <x v="1"/>
    <x v="2"/>
    <x v="5"/>
    <x v="7"/>
    <n v="2500"/>
    <n v="7500"/>
    <n v="5420.48"/>
    <n v="2079.52"/>
    <s v="Brian"/>
  </r>
  <r>
    <n v="1017"/>
    <d v="2025-07-15T00:00:00"/>
    <x v="2"/>
    <x v="0"/>
    <x v="0"/>
    <x v="6"/>
    <n v="2500"/>
    <n v="17500"/>
    <n v="10014.11"/>
    <n v="7485.89"/>
    <s v="James"/>
  </r>
  <r>
    <n v="1018"/>
    <d v="2025-12-15T00:00:00"/>
    <x v="1"/>
    <x v="0"/>
    <x v="8"/>
    <x v="1"/>
    <n v="12000"/>
    <n v="108000"/>
    <n v="95023.89"/>
    <n v="12976.11"/>
    <s v="Peter"/>
  </r>
  <r>
    <n v="1019"/>
    <d v="2025-03-22T00:00:00"/>
    <x v="3"/>
    <x v="0"/>
    <x v="8"/>
    <x v="4"/>
    <n v="150"/>
    <n v="900"/>
    <n v="587.45000000000005"/>
    <n v="312.55"/>
    <s v="Amina"/>
  </r>
  <r>
    <n v="1020"/>
    <d v="2025-09-17T00:00:00"/>
    <x v="1"/>
    <x v="0"/>
    <x v="7"/>
    <x v="3"/>
    <n v="2500"/>
    <n v="12500"/>
    <n v="10208.58"/>
    <n v="2291.42"/>
    <s v="Peter"/>
  </r>
  <r>
    <n v="1021"/>
    <d v="2025-07-11T00:00:00"/>
    <x v="0"/>
    <x v="2"/>
    <x v="6"/>
    <x v="1"/>
    <n v="2500"/>
    <n v="22500"/>
    <n v="13941.42"/>
    <n v="8558.58"/>
    <s v="Lilian"/>
  </r>
  <r>
    <n v="1022"/>
    <d v="2025-02-27T00:00:00"/>
    <x v="4"/>
    <x v="0"/>
    <x v="0"/>
    <x v="2"/>
    <n v="500"/>
    <n v="5000"/>
    <n v="3605.06"/>
    <n v="1394.94"/>
    <s v="Faith"/>
  </r>
  <r>
    <n v="1023"/>
    <d v="2025-02-13T00:00:00"/>
    <x v="3"/>
    <x v="1"/>
    <x v="2"/>
    <x v="8"/>
    <n v="2500"/>
    <n v="10000"/>
    <n v="8814.32"/>
    <n v="1185.68"/>
    <s v="Amina"/>
  </r>
  <r>
    <n v="1024"/>
    <d v="2025-10-09T00:00:00"/>
    <x v="0"/>
    <x v="0"/>
    <x v="0"/>
    <x v="7"/>
    <n v="5000"/>
    <n v="15000"/>
    <n v="10745.23"/>
    <n v="4254.7700000000004"/>
    <s v="Faith"/>
  </r>
  <r>
    <n v="1025"/>
    <d v="2025-12-20T00:00:00"/>
    <x v="0"/>
    <x v="0"/>
    <x v="7"/>
    <x v="6"/>
    <n v="250"/>
    <n v="1750"/>
    <n v="1531.46"/>
    <n v="218.54"/>
    <s v="Peter"/>
  </r>
  <r>
    <n v="1026"/>
    <d v="2025-08-20T00:00:00"/>
    <x v="1"/>
    <x v="2"/>
    <x v="4"/>
    <x v="4"/>
    <n v="1200"/>
    <n v="7200"/>
    <n v="6227.03"/>
    <n v="972.97"/>
    <s v="Brian"/>
  </r>
  <r>
    <n v="1027"/>
    <d v="2025-04-28T00:00:00"/>
    <x v="2"/>
    <x v="1"/>
    <x v="2"/>
    <x v="4"/>
    <n v="150"/>
    <n v="900"/>
    <n v="680.32"/>
    <n v="219.68"/>
    <s v="Brian"/>
  </r>
  <r>
    <n v="1028"/>
    <d v="2025-01-17T00:00:00"/>
    <x v="4"/>
    <x v="1"/>
    <x v="2"/>
    <x v="0"/>
    <n v="250"/>
    <n v="250"/>
    <n v="143.4"/>
    <n v="106.6"/>
    <s v="Amina"/>
  </r>
  <r>
    <n v="1029"/>
    <d v="2025-10-04T00:00:00"/>
    <x v="0"/>
    <x v="0"/>
    <x v="0"/>
    <x v="3"/>
    <n v="5000"/>
    <n v="25000"/>
    <n v="17997.38"/>
    <n v="7002.62"/>
    <s v="Peter"/>
  </r>
  <r>
    <n v="1030"/>
    <d v="2025-07-28T00:00:00"/>
    <x v="0"/>
    <x v="0"/>
    <x v="7"/>
    <x v="9"/>
    <n v="250"/>
    <n v="2000"/>
    <n v="1649.23"/>
    <n v="350.77"/>
    <s v="Amina"/>
  </r>
  <r>
    <n v="1031"/>
    <d v="2025-08-28T00:00:00"/>
    <x v="1"/>
    <x v="1"/>
    <x v="1"/>
    <x v="6"/>
    <n v="500"/>
    <n v="3500"/>
    <n v="2443.88"/>
    <n v="1056.1199999999999"/>
    <s v="Peter"/>
  </r>
  <r>
    <n v="1032"/>
    <d v="2025-06-23T00:00:00"/>
    <x v="1"/>
    <x v="0"/>
    <x v="7"/>
    <x v="5"/>
    <n v="150"/>
    <n v="300"/>
    <n v="207.28"/>
    <n v="92.72"/>
    <s v="Brian"/>
  </r>
  <r>
    <n v="1033"/>
    <d v="2025-04-04T00:00:00"/>
    <x v="4"/>
    <x v="1"/>
    <x v="2"/>
    <x v="1"/>
    <n v="1200"/>
    <n v="10800"/>
    <n v="6469.89"/>
    <n v="4330.1099999999997"/>
    <s v="James"/>
  </r>
  <r>
    <n v="1034"/>
    <d v="2025-10-09T00:00:00"/>
    <x v="1"/>
    <x v="1"/>
    <x v="2"/>
    <x v="9"/>
    <n v="12000"/>
    <n v="96000"/>
    <n v="81741.33"/>
    <n v="14258.67"/>
    <s v="Amina"/>
  </r>
  <r>
    <n v="1035"/>
    <d v="2025-05-02T00:00:00"/>
    <x v="0"/>
    <x v="0"/>
    <x v="7"/>
    <x v="0"/>
    <n v="150"/>
    <n v="150"/>
    <n v="131.13"/>
    <n v="18.87"/>
    <s v="James"/>
  </r>
  <r>
    <n v="1036"/>
    <d v="2025-01-31T00:00:00"/>
    <x v="0"/>
    <x v="2"/>
    <x v="4"/>
    <x v="8"/>
    <n v="12000"/>
    <n v="48000"/>
    <n v="33137.480000000003"/>
    <n v="14862.52"/>
    <s v="James"/>
  </r>
  <r>
    <n v="1037"/>
    <d v="2025-05-27T00:00:00"/>
    <x v="3"/>
    <x v="1"/>
    <x v="3"/>
    <x v="3"/>
    <n v="12000"/>
    <n v="60000"/>
    <n v="49487.72"/>
    <n v="10512.28"/>
    <s v="Peter"/>
  </r>
  <r>
    <n v="1038"/>
    <d v="2025-04-22T00:00:00"/>
    <x v="1"/>
    <x v="0"/>
    <x v="7"/>
    <x v="9"/>
    <n v="250"/>
    <n v="2000"/>
    <n v="1232.93"/>
    <n v="767.07"/>
    <s v="Lilian"/>
  </r>
  <r>
    <n v="1039"/>
    <d v="2025-01-26T00:00:00"/>
    <x v="2"/>
    <x v="0"/>
    <x v="7"/>
    <x v="0"/>
    <n v="5000"/>
    <n v="5000"/>
    <n v="3298.81"/>
    <n v="1701.19"/>
    <s v="James"/>
  </r>
  <r>
    <n v="1040"/>
    <d v="2025-02-11T00:00:00"/>
    <x v="0"/>
    <x v="0"/>
    <x v="7"/>
    <x v="7"/>
    <n v="150"/>
    <n v="450"/>
    <n v="398.82"/>
    <n v="51.18"/>
    <s v="Amina"/>
  </r>
  <r>
    <n v="1041"/>
    <d v="2025-10-19T00:00:00"/>
    <x v="0"/>
    <x v="0"/>
    <x v="0"/>
    <x v="8"/>
    <n v="1200"/>
    <n v="4800"/>
    <n v="2841.41"/>
    <n v="1958.59"/>
    <s v="Lilian"/>
  </r>
  <r>
    <n v="1042"/>
    <d v="2025-10-26T00:00:00"/>
    <x v="2"/>
    <x v="0"/>
    <x v="0"/>
    <x v="2"/>
    <n v="150"/>
    <n v="1500"/>
    <n v="1045.0899999999999"/>
    <n v="454.91"/>
    <s v="Lilian"/>
  </r>
  <r>
    <n v="1043"/>
    <d v="2025-05-03T00:00:00"/>
    <x v="4"/>
    <x v="2"/>
    <x v="4"/>
    <x v="8"/>
    <n v="5000"/>
    <n v="20000"/>
    <n v="16013.34"/>
    <n v="3986.66"/>
    <s v="James"/>
  </r>
  <r>
    <n v="1044"/>
    <d v="2025-02-07T00:00:00"/>
    <x v="1"/>
    <x v="1"/>
    <x v="1"/>
    <x v="3"/>
    <n v="1200"/>
    <n v="6000"/>
    <n v="3963.97"/>
    <n v="2036.03"/>
    <s v="James"/>
  </r>
  <r>
    <n v="1045"/>
    <d v="2025-09-17T00:00:00"/>
    <x v="4"/>
    <x v="0"/>
    <x v="7"/>
    <x v="5"/>
    <n v="150"/>
    <n v="300"/>
    <n v="221.45"/>
    <n v="78.55"/>
    <s v="Brian"/>
  </r>
  <r>
    <n v="1046"/>
    <d v="2025-08-13T00:00:00"/>
    <x v="2"/>
    <x v="2"/>
    <x v="5"/>
    <x v="8"/>
    <n v="500"/>
    <n v="2000"/>
    <n v="1299.49"/>
    <n v="700.51"/>
    <s v="Peter"/>
  </r>
  <r>
    <n v="1047"/>
    <d v="2025-10-11T00:00:00"/>
    <x v="4"/>
    <x v="2"/>
    <x v="6"/>
    <x v="1"/>
    <n v="150"/>
    <n v="1350"/>
    <n v="1058.07"/>
    <n v="291.93"/>
    <s v="Peter"/>
  </r>
  <r>
    <n v="1048"/>
    <d v="2025-10-11T00:00:00"/>
    <x v="0"/>
    <x v="1"/>
    <x v="2"/>
    <x v="3"/>
    <n v="150"/>
    <n v="750"/>
    <n v="646.04999999999995"/>
    <n v="103.95"/>
    <s v="Faith"/>
  </r>
  <r>
    <n v="1049"/>
    <d v="2025-12-18T00:00:00"/>
    <x v="4"/>
    <x v="2"/>
    <x v="6"/>
    <x v="8"/>
    <n v="5000"/>
    <n v="20000"/>
    <n v="13400.16"/>
    <n v="6599.84"/>
    <s v="Lilian"/>
  </r>
  <r>
    <n v="1050"/>
    <d v="2025-05-22T00:00:00"/>
    <x v="1"/>
    <x v="2"/>
    <x v="4"/>
    <x v="0"/>
    <n v="150"/>
    <n v="150"/>
    <n v="115.8"/>
    <n v="34.200000000000003"/>
    <s v="Amina"/>
  </r>
  <r>
    <n v="1051"/>
    <d v="2025-10-10T00:00:00"/>
    <x v="3"/>
    <x v="2"/>
    <x v="5"/>
    <x v="3"/>
    <n v="250"/>
    <n v="1250"/>
    <n v="1011.79"/>
    <n v="238.21"/>
    <s v="Lilian"/>
  </r>
  <r>
    <n v="1052"/>
    <d v="2025-10-07T00:00:00"/>
    <x v="1"/>
    <x v="1"/>
    <x v="2"/>
    <x v="5"/>
    <n v="5000"/>
    <n v="10000"/>
    <n v="8663.75"/>
    <n v="1336.25"/>
    <s v="Faith"/>
  </r>
  <r>
    <n v="1053"/>
    <d v="2025-06-07T00:00:00"/>
    <x v="4"/>
    <x v="0"/>
    <x v="7"/>
    <x v="7"/>
    <n v="1200"/>
    <n v="3600"/>
    <n v="2140.58"/>
    <n v="1459.42"/>
    <s v="Amina"/>
  </r>
  <r>
    <n v="1054"/>
    <d v="2025-10-14T00:00:00"/>
    <x v="3"/>
    <x v="2"/>
    <x v="5"/>
    <x v="8"/>
    <n v="5000"/>
    <n v="20000"/>
    <n v="11719.56"/>
    <n v="8280.44"/>
    <s v="Lilian"/>
  </r>
  <r>
    <n v="1055"/>
    <d v="2025-04-01T00:00:00"/>
    <x v="3"/>
    <x v="0"/>
    <x v="0"/>
    <x v="8"/>
    <n v="12000"/>
    <n v="48000"/>
    <n v="29130.03"/>
    <n v="18869.97"/>
    <s v="Amina"/>
  </r>
  <r>
    <n v="1056"/>
    <d v="2025-12-09T00:00:00"/>
    <x v="0"/>
    <x v="1"/>
    <x v="1"/>
    <x v="4"/>
    <n v="12000"/>
    <n v="72000"/>
    <n v="63056.56"/>
    <n v="8943.44"/>
    <s v="Faith"/>
  </r>
  <r>
    <n v="1057"/>
    <d v="2025-08-29T00:00:00"/>
    <x v="0"/>
    <x v="1"/>
    <x v="1"/>
    <x v="5"/>
    <n v="1200"/>
    <n v="2400"/>
    <n v="2052.62"/>
    <n v="347.38"/>
    <s v="Brian"/>
  </r>
  <r>
    <n v="1058"/>
    <d v="2025-04-27T00:00:00"/>
    <x v="0"/>
    <x v="2"/>
    <x v="4"/>
    <x v="3"/>
    <n v="12000"/>
    <n v="60000"/>
    <n v="49702.26"/>
    <n v="10297.74"/>
    <s v="Amina"/>
  </r>
  <r>
    <n v="1059"/>
    <d v="2025-02-05T00:00:00"/>
    <x v="4"/>
    <x v="0"/>
    <x v="0"/>
    <x v="6"/>
    <n v="500"/>
    <n v="3500"/>
    <n v="2266.29"/>
    <n v="1233.71"/>
    <s v="Faith"/>
  </r>
  <r>
    <n v="1060"/>
    <d v="2025-10-02T00:00:00"/>
    <x v="4"/>
    <x v="0"/>
    <x v="7"/>
    <x v="6"/>
    <n v="5000"/>
    <n v="35000"/>
    <n v="31269.08"/>
    <n v="3730.92"/>
    <s v="Amina"/>
  </r>
  <r>
    <n v="1061"/>
    <d v="2025-05-16T00:00:00"/>
    <x v="1"/>
    <x v="1"/>
    <x v="3"/>
    <x v="7"/>
    <n v="2500"/>
    <n v="7500"/>
    <n v="6651.65"/>
    <n v="848.35"/>
    <s v="Amina"/>
  </r>
  <r>
    <n v="1062"/>
    <d v="2025-08-12T00:00:00"/>
    <x v="2"/>
    <x v="0"/>
    <x v="8"/>
    <x v="4"/>
    <n v="5000"/>
    <n v="30000"/>
    <n v="24757.5"/>
    <n v="5242.5"/>
    <s v="Lilian"/>
  </r>
  <r>
    <n v="1063"/>
    <d v="2025-12-29T00:00:00"/>
    <x v="3"/>
    <x v="1"/>
    <x v="3"/>
    <x v="2"/>
    <n v="250"/>
    <n v="2500"/>
    <n v="1597.88"/>
    <n v="902.12"/>
    <s v="Amina"/>
  </r>
  <r>
    <n v="1064"/>
    <d v="2025-12-07T00:00:00"/>
    <x v="4"/>
    <x v="0"/>
    <x v="7"/>
    <x v="8"/>
    <n v="500"/>
    <n v="2000"/>
    <n v="1401.91"/>
    <n v="598.09"/>
    <s v="Lilian"/>
  </r>
  <r>
    <n v="1065"/>
    <d v="2025-09-17T00:00:00"/>
    <x v="4"/>
    <x v="2"/>
    <x v="6"/>
    <x v="5"/>
    <n v="5000"/>
    <n v="10000"/>
    <n v="8650.16"/>
    <n v="1349.84"/>
    <s v="Peter"/>
  </r>
  <r>
    <n v="1066"/>
    <d v="2025-03-07T00:00:00"/>
    <x v="0"/>
    <x v="2"/>
    <x v="4"/>
    <x v="6"/>
    <n v="5000"/>
    <n v="35000"/>
    <n v="22871.78"/>
    <n v="12128.22"/>
    <s v="James"/>
  </r>
  <r>
    <n v="1067"/>
    <d v="2025-07-27T00:00:00"/>
    <x v="2"/>
    <x v="0"/>
    <x v="8"/>
    <x v="7"/>
    <n v="2500"/>
    <n v="7500"/>
    <n v="5618.9"/>
    <n v="1881.1"/>
    <s v="Amina"/>
  </r>
  <r>
    <n v="1068"/>
    <d v="2025-11-07T00:00:00"/>
    <x v="4"/>
    <x v="2"/>
    <x v="4"/>
    <x v="8"/>
    <n v="1200"/>
    <n v="4800"/>
    <n v="3960.07"/>
    <n v="839.93"/>
    <s v="James"/>
  </r>
  <r>
    <n v="1069"/>
    <d v="2025-03-28T00:00:00"/>
    <x v="1"/>
    <x v="2"/>
    <x v="4"/>
    <x v="8"/>
    <n v="2500"/>
    <n v="10000"/>
    <n v="7156.15"/>
    <n v="2843.85"/>
    <s v="Faith"/>
  </r>
  <r>
    <n v="1070"/>
    <d v="2025-05-01T00:00:00"/>
    <x v="4"/>
    <x v="0"/>
    <x v="7"/>
    <x v="2"/>
    <n v="500"/>
    <n v="5000"/>
    <n v="2913.43"/>
    <n v="2086.5700000000002"/>
    <s v="Brian"/>
  </r>
  <r>
    <n v="1071"/>
    <d v="2025-09-01T00:00:00"/>
    <x v="2"/>
    <x v="1"/>
    <x v="2"/>
    <x v="0"/>
    <n v="150"/>
    <n v="150"/>
    <n v="95.35"/>
    <n v="54.65"/>
    <s v="Amina"/>
  </r>
  <r>
    <n v="1072"/>
    <d v="2025-07-16T00:00:00"/>
    <x v="3"/>
    <x v="2"/>
    <x v="4"/>
    <x v="2"/>
    <n v="250"/>
    <n v="2500"/>
    <n v="2003.55"/>
    <n v="496.45"/>
    <s v="James"/>
  </r>
  <r>
    <n v="1073"/>
    <d v="2025-02-24T00:00:00"/>
    <x v="3"/>
    <x v="1"/>
    <x v="2"/>
    <x v="0"/>
    <n v="12000"/>
    <n v="12000"/>
    <n v="10213.85"/>
    <n v="1786.15"/>
    <s v="Brian"/>
  </r>
  <r>
    <n v="1074"/>
    <d v="2025-05-08T00:00:00"/>
    <x v="1"/>
    <x v="1"/>
    <x v="1"/>
    <x v="1"/>
    <n v="1200"/>
    <n v="10800"/>
    <n v="6129.83"/>
    <n v="4670.17"/>
    <s v="James"/>
  </r>
  <r>
    <n v="1075"/>
    <d v="2025-08-15T00:00:00"/>
    <x v="2"/>
    <x v="1"/>
    <x v="3"/>
    <x v="1"/>
    <n v="2500"/>
    <n v="22500"/>
    <n v="17064.189999999999"/>
    <n v="5435.81"/>
    <s v="Peter"/>
  </r>
  <r>
    <n v="1076"/>
    <d v="2025-09-01T00:00:00"/>
    <x v="3"/>
    <x v="0"/>
    <x v="8"/>
    <x v="1"/>
    <n v="1200"/>
    <n v="10800"/>
    <n v="9331.4500000000007"/>
    <n v="1468.55"/>
    <s v="Faith"/>
  </r>
  <r>
    <n v="1077"/>
    <d v="2025-09-06T00:00:00"/>
    <x v="0"/>
    <x v="1"/>
    <x v="1"/>
    <x v="3"/>
    <n v="12000"/>
    <n v="60000"/>
    <n v="49331.17"/>
    <n v="10668.83"/>
    <s v="Faith"/>
  </r>
  <r>
    <n v="1078"/>
    <d v="2025-06-13T00:00:00"/>
    <x v="2"/>
    <x v="2"/>
    <x v="5"/>
    <x v="3"/>
    <n v="250"/>
    <n v="1250"/>
    <n v="806.38"/>
    <n v="443.62"/>
    <s v="Amina"/>
  </r>
  <r>
    <n v="1079"/>
    <d v="2025-12-28T00:00:00"/>
    <x v="0"/>
    <x v="1"/>
    <x v="2"/>
    <x v="8"/>
    <n v="1200"/>
    <n v="4800"/>
    <n v="3805.84"/>
    <n v="994.16"/>
    <s v="Amina"/>
  </r>
  <r>
    <n v="1080"/>
    <d v="2025-02-01T00:00:00"/>
    <x v="0"/>
    <x v="2"/>
    <x v="4"/>
    <x v="4"/>
    <n v="2500"/>
    <n v="15000"/>
    <n v="10696.1"/>
    <n v="4303.8999999999996"/>
    <s v="James"/>
  </r>
  <r>
    <n v="1081"/>
    <d v="2025-10-22T00:00:00"/>
    <x v="3"/>
    <x v="2"/>
    <x v="6"/>
    <x v="0"/>
    <n v="12000"/>
    <n v="12000"/>
    <n v="10298.76"/>
    <n v="1701.24"/>
    <s v="James"/>
  </r>
  <r>
    <n v="1082"/>
    <d v="2025-08-03T00:00:00"/>
    <x v="2"/>
    <x v="1"/>
    <x v="3"/>
    <x v="3"/>
    <n v="12000"/>
    <n v="60000"/>
    <n v="41189.72"/>
    <n v="18810.28"/>
    <s v="Peter"/>
  </r>
  <r>
    <n v="1083"/>
    <d v="2025-05-20T00:00:00"/>
    <x v="3"/>
    <x v="0"/>
    <x v="7"/>
    <x v="2"/>
    <n v="250"/>
    <n v="2500"/>
    <n v="1802.2"/>
    <n v="697.8"/>
    <s v="James"/>
  </r>
  <r>
    <n v="1084"/>
    <d v="2025-07-27T00:00:00"/>
    <x v="0"/>
    <x v="1"/>
    <x v="3"/>
    <x v="4"/>
    <n v="5000"/>
    <n v="30000"/>
    <n v="23630.99"/>
    <n v="6369.01"/>
    <s v="James"/>
  </r>
  <r>
    <n v="1085"/>
    <d v="2025-10-31T00:00:00"/>
    <x v="2"/>
    <x v="1"/>
    <x v="1"/>
    <x v="1"/>
    <n v="150"/>
    <n v="1350"/>
    <n v="1171.02"/>
    <n v="178.98"/>
    <s v="Peter"/>
  </r>
  <r>
    <n v="1086"/>
    <d v="2025-04-04T00:00:00"/>
    <x v="1"/>
    <x v="1"/>
    <x v="2"/>
    <x v="6"/>
    <n v="250"/>
    <n v="1750"/>
    <n v="1493.45"/>
    <n v="256.55"/>
    <s v="Faith"/>
  </r>
  <r>
    <n v="1087"/>
    <d v="2025-07-14T00:00:00"/>
    <x v="4"/>
    <x v="2"/>
    <x v="4"/>
    <x v="8"/>
    <n v="1200"/>
    <n v="4800"/>
    <n v="3189.1"/>
    <n v="1610.9"/>
    <s v="James"/>
  </r>
  <r>
    <n v="1088"/>
    <d v="2025-01-27T00:00:00"/>
    <x v="4"/>
    <x v="2"/>
    <x v="5"/>
    <x v="9"/>
    <n v="150"/>
    <n v="1200"/>
    <n v="974.59"/>
    <n v="225.41"/>
    <s v="Brian"/>
  </r>
  <r>
    <n v="1089"/>
    <d v="2025-05-07T00:00:00"/>
    <x v="0"/>
    <x v="0"/>
    <x v="0"/>
    <x v="0"/>
    <n v="12000"/>
    <n v="12000"/>
    <n v="6730.33"/>
    <n v="5269.67"/>
    <s v="Amina"/>
  </r>
  <r>
    <n v="1090"/>
    <d v="2025-02-28T00:00:00"/>
    <x v="2"/>
    <x v="0"/>
    <x v="0"/>
    <x v="8"/>
    <n v="250"/>
    <n v="1000"/>
    <n v="715.75"/>
    <n v="284.25"/>
    <s v="Brian"/>
  </r>
  <r>
    <n v="1091"/>
    <d v="2025-11-07T00:00:00"/>
    <x v="2"/>
    <x v="2"/>
    <x v="6"/>
    <x v="3"/>
    <n v="12000"/>
    <n v="60000"/>
    <n v="40746.800000000003"/>
    <n v="19253.2"/>
    <s v="Peter"/>
  </r>
  <r>
    <n v="1092"/>
    <d v="2025-01-14T00:00:00"/>
    <x v="4"/>
    <x v="0"/>
    <x v="0"/>
    <x v="7"/>
    <n v="500"/>
    <n v="1500"/>
    <n v="881.75"/>
    <n v="618.25"/>
    <s v="Lilian"/>
  </r>
  <r>
    <n v="1093"/>
    <d v="2025-10-31T00:00:00"/>
    <x v="0"/>
    <x v="0"/>
    <x v="8"/>
    <x v="6"/>
    <n v="5000"/>
    <n v="35000"/>
    <n v="21679.54"/>
    <n v="13320.46"/>
    <s v="Amina"/>
  </r>
  <r>
    <n v="1094"/>
    <d v="2025-10-17T00:00:00"/>
    <x v="1"/>
    <x v="0"/>
    <x v="8"/>
    <x v="2"/>
    <n v="12000"/>
    <n v="120000"/>
    <n v="71084.31"/>
    <n v="48915.69"/>
    <s v="Faith"/>
  </r>
  <r>
    <n v="1095"/>
    <d v="2025-06-24T00:00:00"/>
    <x v="1"/>
    <x v="0"/>
    <x v="8"/>
    <x v="4"/>
    <n v="150"/>
    <n v="900"/>
    <n v="654.38"/>
    <n v="245.62"/>
    <s v="James"/>
  </r>
  <r>
    <n v="1096"/>
    <d v="2025-08-24T00:00:00"/>
    <x v="0"/>
    <x v="2"/>
    <x v="5"/>
    <x v="6"/>
    <n v="500"/>
    <n v="3500"/>
    <n v="2703.59"/>
    <n v="796.41"/>
    <s v="James"/>
  </r>
  <r>
    <n v="1097"/>
    <d v="2025-10-03T00:00:00"/>
    <x v="3"/>
    <x v="1"/>
    <x v="1"/>
    <x v="1"/>
    <n v="5000"/>
    <n v="45000"/>
    <n v="29003.8"/>
    <n v="15996.2"/>
    <s v="James"/>
  </r>
  <r>
    <n v="1098"/>
    <d v="2025-05-06T00:00:00"/>
    <x v="1"/>
    <x v="2"/>
    <x v="6"/>
    <x v="2"/>
    <n v="500"/>
    <n v="5000"/>
    <n v="3314.03"/>
    <n v="1685.97"/>
    <s v="Faith"/>
  </r>
  <r>
    <n v="1099"/>
    <d v="2025-07-14T00:00:00"/>
    <x v="4"/>
    <x v="2"/>
    <x v="5"/>
    <x v="9"/>
    <n v="2500"/>
    <n v="20000"/>
    <n v="15272.32"/>
    <n v="4727.68"/>
    <s v="Amina"/>
  </r>
  <r>
    <n v="1100"/>
    <d v="2025-05-13T00:00:00"/>
    <x v="4"/>
    <x v="2"/>
    <x v="4"/>
    <x v="7"/>
    <n v="1200"/>
    <n v="3600"/>
    <n v="2247.27"/>
    <n v="1352.73"/>
    <s v="Faith"/>
  </r>
  <r>
    <n v="1101"/>
    <d v="2025-04-08T00:00:00"/>
    <x v="1"/>
    <x v="0"/>
    <x v="7"/>
    <x v="3"/>
    <n v="2500"/>
    <n v="12500"/>
    <n v="6919.41"/>
    <n v="5580.59"/>
    <s v="Brian"/>
  </r>
  <r>
    <n v="1102"/>
    <d v="2025-12-20T00:00:00"/>
    <x v="3"/>
    <x v="0"/>
    <x v="8"/>
    <x v="9"/>
    <n v="2500"/>
    <n v="20000"/>
    <n v="16307.15"/>
    <n v="3692.85"/>
    <s v="Peter"/>
  </r>
  <r>
    <n v="1103"/>
    <d v="2025-05-31T00:00:00"/>
    <x v="0"/>
    <x v="0"/>
    <x v="8"/>
    <x v="9"/>
    <n v="12000"/>
    <n v="96000"/>
    <n v="53379.37"/>
    <n v="42620.63"/>
    <s v="James"/>
  </r>
  <r>
    <n v="1104"/>
    <d v="2025-08-31T00:00:00"/>
    <x v="2"/>
    <x v="0"/>
    <x v="0"/>
    <x v="3"/>
    <n v="5000"/>
    <n v="25000"/>
    <n v="18838.61"/>
    <n v="6161.39"/>
    <s v="Lilian"/>
  </r>
  <r>
    <n v="1105"/>
    <d v="2025-08-21T00:00:00"/>
    <x v="4"/>
    <x v="2"/>
    <x v="4"/>
    <x v="1"/>
    <n v="500"/>
    <n v="4500"/>
    <n v="3029.1"/>
    <n v="1470.9"/>
    <s v="Faith"/>
  </r>
  <r>
    <n v="1106"/>
    <d v="2025-03-03T00:00:00"/>
    <x v="2"/>
    <x v="2"/>
    <x v="5"/>
    <x v="5"/>
    <n v="5000"/>
    <n v="10000"/>
    <n v="6174.05"/>
    <n v="3825.95"/>
    <s v="Peter"/>
  </r>
  <r>
    <n v="1107"/>
    <d v="2025-10-29T00:00:00"/>
    <x v="2"/>
    <x v="1"/>
    <x v="2"/>
    <x v="8"/>
    <n v="5000"/>
    <n v="20000"/>
    <n v="14389.39"/>
    <n v="5610.61"/>
    <s v="Lilian"/>
  </r>
  <r>
    <n v="1108"/>
    <d v="2025-04-02T00:00:00"/>
    <x v="4"/>
    <x v="2"/>
    <x v="5"/>
    <x v="8"/>
    <n v="500"/>
    <n v="2000"/>
    <n v="1259.24"/>
    <n v="740.76"/>
    <s v="Amina"/>
  </r>
  <r>
    <n v="1109"/>
    <d v="2025-01-28T00:00:00"/>
    <x v="2"/>
    <x v="0"/>
    <x v="7"/>
    <x v="7"/>
    <n v="500"/>
    <n v="1500"/>
    <n v="848.9"/>
    <n v="651.1"/>
    <s v="Faith"/>
  </r>
  <r>
    <n v="1110"/>
    <d v="2025-10-21T00:00:00"/>
    <x v="4"/>
    <x v="0"/>
    <x v="0"/>
    <x v="9"/>
    <n v="150"/>
    <n v="1200"/>
    <n v="1026.54"/>
    <n v="173.46"/>
    <s v="James"/>
  </r>
  <r>
    <n v="1111"/>
    <d v="2025-05-10T00:00:00"/>
    <x v="3"/>
    <x v="2"/>
    <x v="4"/>
    <x v="4"/>
    <n v="250"/>
    <n v="1500"/>
    <n v="1331.89"/>
    <n v="168.11"/>
    <s v="Amina"/>
  </r>
  <r>
    <n v="1112"/>
    <d v="2025-12-18T00:00:00"/>
    <x v="1"/>
    <x v="1"/>
    <x v="3"/>
    <x v="9"/>
    <n v="150"/>
    <n v="1200"/>
    <n v="902.35"/>
    <n v="297.64999999999998"/>
    <s v="Brian"/>
  </r>
  <r>
    <n v="1113"/>
    <d v="2025-03-02T00:00:00"/>
    <x v="2"/>
    <x v="1"/>
    <x v="1"/>
    <x v="3"/>
    <n v="150"/>
    <n v="750"/>
    <n v="673.4"/>
    <n v="76.599999999999994"/>
    <s v="James"/>
  </r>
  <r>
    <n v="1114"/>
    <d v="2025-07-14T00:00:00"/>
    <x v="3"/>
    <x v="0"/>
    <x v="7"/>
    <x v="2"/>
    <n v="250"/>
    <n v="2500"/>
    <n v="2053.73"/>
    <n v="446.27"/>
    <s v="James"/>
  </r>
  <r>
    <n v="1115"/>
    <d v="2025-01-31T00:00:00"/>
    <x v="2"/>
    <x v="2"/>
    <x v="6"/>
    <x v="6"/>
    <n v="500"/>
    <n v="3500"/>
    <n v="2621.57"/>
    <n v="878.43"/>
    <s v="Peter"/>
  </r>
  <r>
    <n v="1116"/>
    <d v="2025-03-22T00:00:00"/>
    <x v="0"/>
    <x v="1"/>
    <x v="2"/>
    <x v="8"/>
    <n v="500"/>
    <n v="2000"/>
    <n v="1562.3"/>
    <n v="437.7"/>
    <s v="Brian"/>
  </r>
  <r>
    <n v="1117"/>
    <d v="2025-12-19T00:00:00"/>
    <x v="2"/>
    <x v="0"/>
    <x v="0"/>
    <x v="7"/>
    <n v="150"/>
    <n v="450"/>
    <n v="311.83999999999997"/>
    <n v="138.16"/>
    <s v="James"/>
  </r>
  <r>
    <n v="1118"/>
    <d v="2025-12-26T00:00:00"/>
    <x v="3"/>
    <x v="2"/>
    <x v="5"/>
    <x v="8"/>
    <n v="500"/>
    <n v="2000"/>
    <n v="1594.87"/>
    <n v="405.13"/>
    <s v="Amina"/>
  </r>
  <r>
    <n v="1119"/>
    <d v="2025-10-29T00:00:00"/>
    <x v="0"/>
    <x v="0"/>
    <x v="0"/>
    <x v="3"/>
    <n v="12000"/>
    <n v="60000"/>
    <n v="49616.2"/>
    <n v="10383.799999999999"/>
    <s v="James"/>
  </r>
  <r>
    <n v="1120"/>
    <d v="2025-05-17T00:00:00"/>
    <x v="0"/>
    <x v="1"/>
    <x v="1"/>
    <x v="8"/>
    <n v="5000"/>
    <n v="20000"/>
    <n v="12042.93"/>
    <n v="7957.07"/>
    <s v="Amina"/>
  </r>
  <r>
    <n v="1121"/>
    <d v="2025-10-19T00:00:00"/>
    <x v="4"/>
    <x v="1"/>
    <x v="2"/>
    <x v="3"/>
    <n v="2500"/>
    <n v="12500"/>
    <n v="10151.69"/>
    <n v="2348.31"/>
    <s v="James"/>
  </r>
  <r>
    <n v="1122"/>
    <d v="2025-05-20T00:00:00"/>
    <x v="2"/>
    <x v="1"/>
    <x v="3"/>
    <x v="3"/>
    <n v="5000"/>
    <n v="25000"/>
    <n v="17271.95"/>
    <n v="7728.05"/>
    <s v="Lilian"/>
  </r>
  <r>
    <n v="1123"/>
    <d v="2025-08-10T00:00:00"/>
    <x v="4"/>
    <x v="2"/>
    <x v="4"/>
    <x v="5"/>
    <n v="2500"/>
    <n v="5000"/>
    <n v="2819.76"/>
    <n v="2180.2399999999998"/>
    <s v="Lilian"/>
  </r>
  <r>
    <n v="1124"/>
    <d v="2025-10-22T00:00:00"/>
    <x v="2"/>
    <x v="2"/>
    <x v="5"/>
    <x v="5"/>
    <n v="250"/>
    <n v="500"/>
    <n v="443.33"/>
    <n v="56.67"/>
    <s v="Amina"/>
  </r>
  <r>
    <n v="1125"/>
    <d v="2025-03-31T00:00:00"/>
    <x v="3"/>
    <x v="0"/>
    <x v="8"/>
    <x v="2"/>
    <n v="150"/>
    <n v="1500"/>
    <n v="1225.6300000000001"/>
    <n v="274.37"/>
    <s v="Lilian"/>
  </r>
  <r>
    <n v="1126"/>
    <d v="2025-08-12T00:00:00"/>
    <x v="3"/>
    <x v="0"/>
    <x v="8"/>
    <x v="3"/>
    <n v="250"/>
    <n v="1250"/>
    <n v="1123.6600000000001"/>
    <n v="126.34"/>
    <s v="Amina"/>
  </r>
  <r>
    <n v="1127"/>
    <d v="2025-02-23T00:00:00"/>
    <x v="0"/>
    <x v="2"/>
    <x v="4"/>
    <x v="6"/>
    <n v="500"/>
    <n v="3500"/>
    <n v="2318.3000000000002"/>
    <n v="1181.7"/>
    <s v="Faith"/>
  </r>
  <r>
    <n v="1128"/>
    <d v="2025-07-25T00:00:00"/>
    <x v="2"/>
    <x v="2"/>
    <x v="6"/>
    <x v="9"/>
    <n v="500"/>
    <n v="4000"/>
    <n v="3127.62"/>
    <n v="872.38"/>
    <s v="Amina"/>
  </r>
  <r>
    <n v="1129"/>
    <d v="2025-07-26T00:00:00"/>
    <x v="2"/>
    <x v="2"/>
    <x v="5"/>
    <x v="4"/>
    <n v="500"/>
    <n v="3000"/>
    <n v="1989.44"/>
    <n v="1010.56"/>
    <s v="Amina"/>
  </r>
  <r>
    <n v="1130"/>
    <d v="2025-09-23T00:00:00"/>
    <x v="4"/>
    <x v="0"/>
    <x v="7"/>
    <x v="9"/>
    <n v="1200"/>
    <n v="9600"/>
    <n v="5462.13"/>
    <n v="4137.87"/>
    <s v="Lilian"/>
  </r>
  <r>
    <n v="1131"/>
    <d v="2025-05-17T00:00:00"/>
    <x v="2"/>
    <x v="2"/>
    <x v="6"/>
    <x v="9"/>
    <n v="12000"/>
    <n v="96000"/>
    <n v="54534.16"/>
    <n v="41465.839999999997"/>
    <s v="Brian"/>
  </r>
  <r>
    <n v="1132"/>
    <d v="2025-11-19T00:00:00"/>
    <x v="2"/>
    <x v="2"/>
    <x v="4"/>
    <x v="9"/>
    <n v="150"/>
    <n v="1200"/>
    <n v="672.13"/>
    <n v="527.87"/>
    <s v="Brian"/>
  </r>
  <r>
    <n v="1133"/>
    <d v="2025-07-28T00:00:00"/>
    <x v="1"/>
    <x v="0"/>
    <x v="0"/>
    <x v="3"/>
    <n v="2500"/>
    <n v="12500"/>
    <n v="6934.83"/>
    <n v="5565.17"/>
    <s v="Brian"/>
  </r>
  <r>
    <n v="1134"/>
    <d v="2025-09-13T00:00:00"/>
    <x v="4"/>
    <x v="1"/>
    <x v="3"/>
    <x v="5"/>
    <n v="5000"/>
    <n v="10000"/>
    <n v="8412.5"/>
    <n v="1587.5"/>
    <s v="Lilian"/>
  </r>
  <r>
    <n v="1135"/>
    <d v="2025-08-30T00:00:00"/>
    <x v="0"/>
    <x v="0"/>
    <x v="8"/>
    <x v="6"/>
    <n v="12000"/>
    <n v="84000"/>
    <n v="60385.49"/>
    <n v="23614.51"/>
    <s v="James"/>
  </r>
  <r>
    <n v="1136"/>
    <d v="2025-09-18T00:00:00"/>
    <x v="0"/>
    <x v="0"/>
    <x v="0"/>
    <x v="6"/>
    <n v="250"/>
    <n v="1750"/>
    <n v="1527.14"/>
    <n v="222.86"/>
    <s v="Amina"/>
  </r>
  <r>
    <n v="1137"/>
    <d v="2025-01-02T00:00:00"/>
    <x v="4"/>
    <x v="2"/>
    <x v="4"/>
    <x v="4"/>
    <n v="12000"/>
    <n v="72000"/>
    <n v="52394.99"/>
    <n v="19605.009999999998"/>
    <s v="Peter"/>
  </r>
  <r>
    <n v="1138"/>
    <d v="2025-03-18T00:00:00"/>
    <x v="3"/>
    <x v="2"/>
    <x v="6"/>
    <x v="2"/>
    <n v="5000"/>
    <n v="50000"/>
    <n v="36068.71"/>
    <n v="13931.29"/>
    <s v="Lilian"/>
  </r>
  <r>
    <n v="1139"/>
    <d v="2025-07-13T00:00:00"/>
    <x v="3"/>
    <x v="2"/>
    <x v="4"/>
    <x v="4"/>
    <n v="2500"/>
    <n v="15000"/>
    <n v="12255.08"/>
    <n v="2744.92"/>
    <s v="Faith"/>
  </r>
  <r>
    <n v="1140"/>
    <d v="2025-07-30T00:00:00"/>
    <x v="1"/>
    <x v="1"/>
    <x v="1"/>
    <x v="8"/>
    <n v="2500"/>
    <n v="10000"/>
    <n v="6840.4"/>
    <n v="3159.6"/>
    <s v="Faith"/>
  </r>
  <r>
    <n v="1141"/>
    <d v="2025-11-30T00:00:00"/>
    <x v="0"/>
    <x v="0"/>
    <x v="8"/>
    <x v="6"/>
    <n v="1200"/>
    <n v="8400"/>
    <n v="7525.94"/>
    <n v="874.06"/>
    <s v="James"/>
  </r>
  <r>
    <n v="1142"/>
    <d v="2025-02-21T00:00:00"/>
    <x v="3"/>
    <x v="1"/>
    <x v="2"/>
    <x v="1"/>
    <n v="2500"/>
    <n v="22500"/>
    <n v="14989.46"/>
    <n v="7510.54"/>
    <s v="Amina"/>
  </r>
  <r>
    <n v="1143"/>
    <d v="2025-12-02T00:00:00"/>
    <x v="0"/>
    <x v="0"/>
    <x v="8"/>
    <x v="0"/>
    <n v="5000"/>
    <n v="5000"/>
    <n v="3002.27"/>
    <n v="1997.73"/>
    <s v="Amina"/>
  </r>
  <r>
    <n v="1144"/>
    <d v="2025-11-29T00:00:00"/>
    <x v="1"/>
    <x v="2"/>
    <x v="4"/>
    <x v="4"/>
    <n v="2500"/>
    <n v="15000"/>
    <n v="11886.7"/>
    <n v="3113.3"/>
    <s v="Faith"/>
  </r>
  <r>
    <n v="1145"/>
    <d v="2025-09-07T00:00:00"/>
    <x v="2"/>
    <x v="0"/>
    <x v="7"/>
    <x v="6"/>
    <n v="500"/>
    <n v="3500"/>
    <n v="2692.83"/>
    <n v="807.17"/>
    <s v="Amina"/>
  </r>
  <r>
    <n v="1146"/>
    <d v="2025-05-28T00:00:00"/>
    <x v="0"/>
    <x v="0"/>
    <x v="0"/>
    <x v="8"/>
    <n v="5000"/>
    <n v="20000"/>
    <n v="15790.8"/>
    <n v="4209.2"/>
    <s v="Peter"/>
  </r>
  <r>
    <n v="1147"/>
    <d v="2025-02-21T00:00:00"/>
    <x v="3"/>
    <x v="1"/>
    <x v="3"/>
    <x v="5"/>
    <n v="12000"/>
    <n v="24000"/>
    <n v="18523.48"/>
    <n v="5476.52"/>
    <s v="Brian"/>
  </r>
  <r>
    <n v="1148"/>
    <d v="2025-01-29T00:00:00"/>
    <x v="4"/>
    <x v="0"/>
    <x v="8"/>
    <x v="0"/>
    <n v="150"/>
    <n v="150"/>
    <n v="99.53"/>
    <n v="50.47"/>
    <s v="Faith"/>
  </r>
  <r>
    <n v="1149"/>
    <d v="2025-10-17T00:00:00"/>
    <x v="0"/>
    <x v="2"/>
    <x v="4"/>
    <x v="7"/>
    <n v="250"/>
    <n v="750"/>
    <n v="551.92999999999995"/>
    <n v="198.07"/>
    <s v="Brian"/>
  </r>
  <r>
    <n v="1150"/>
    <d v="2025-12-16T00:00:00"/>
    <x v="0"/>
    <x v="1"/>
    <x v="2"/>
    <x v="2"/>
    <n v="12000"/>
    <n v="120000"/>
    <n v="82066.86"/>
    <n v="37933.14"/>
    <s v="James"/>
  </r>
  <r>
    <n v="1151"/>
    <d v="2025-08-24T00:00:00"/>
    <x v="4"/>
    <x v="0"/>
    <x v="0"/>
    <x v="8"/>
    <n v="1200"/>
    <n v="4800"/>
    <n v="3711.68"/>
    <n v="1088.32"/>
    <s v="Peter"/>
  </r>
  <r>
    <n v="1152"/>
    <d v="2025-02-07T00:00:00"/>
    <x v="3"/>
    <x v="1"/>
    <x v="3"/>
    <x v="3"/>
    <n v="5000"/>
    <n v="25000"/>
    <n v="18532.73"/>
    <n v="6467.27"/>
    <s v="Faith"/>
  </r>
  <r>
    <n v="1153"/>
    <d v="2025-06-04T00:00:00"/>
    <x v="0"/>
    <x v="0"/>
    <x v="8"/>
    <x v="6"/>
    <n v="5000"/>
    <n v="35000"/>
    <n v="22313.7"/>
    <n v="12686.3"/>
    <s v="James"/>
  </r>
  <r>
    <n v="1154"/>
    <d v="2025-10-22T00:00:00"/>
    <x v="4"/>
    <x v="2"/>
    <x v="5"/>
    <x v="8"/>
    <n v="1200"/>
    <n v="4800"/>
    <n v="3600.83"/>
    <n v="1199.17"/>
    <s v="Peter"/>
  </r>
  <r>
    <n v="1155"/>
    <d v="2025-12-18T00:00:00"/>
    <x v="1"/>
    <x v="2"/>
    <x v="5"/>
    <x v="6"/>
    <n v="500"/>
    <n v="3500"/>
    <n v="1934.92"/>
    <n v="1565.08"/>
    <s v="Lilian"/>
  </r>
  <r>
    <n v="1156"/>
    <d v="2025-11-07T00:00:00"/>
    <x v="4"/>
    <x v="0"/>
    <x v="8"/>
    <x v="3"/>
    <n v="12000"/>
    <n v="60000"/>
    <n v="49776.06"/>
    <n v="10223.94"/>
    <s v="Brian"/>
  </r>
  <r>
    <n v="1157"/>
    <d v="2025-12-04T00:00:00"/>
    <x v="0"/>
    <x v="0"/>
    <x v="0"/>
    <x v="2"/>
    <n v="500"/>
    <n v="5000"/>
    <n v="3936.09"/>
    <n v="1063.9100000000001"/>
    <s v="Peter"/>
  </r>
  <r>
    <n v="1158"/>
    <d v="2025-01-18T00:00:00"/>
    <x v="2"/>
    <x v="1"/>
    <x v="1"/>
    <x v="0"/>
    <n v="500"/>
    <n v="500"/>
    <n v="413.01"/>
    <n v="86.99"/>
    <s v="Faith"/>
  </r>
  <r>
    <n v="1159"/>
    <d v="2025-08-01T00:00:00"/>
    <x v="0"/>
    <x v="0"/>
    <x v="0"/>
    <x v="5"/>
    <n v="500"/>
    <n v="1000"/>
    <n v="664.35"/>
    <n v="335.65"/>
    <s v="Brian"/>
  </r>
  <r>
    <n v="1160"/>
    <d v="2025-05-20T00:00:00"/>
    <x v="0"/>
    <x v="1"/>
    <x v="1"/>
    <x v="4"/>
    <n v="2500"/>
    <n v="15000"/>
    <n v="10884.42"/>
    <n v="4115.58"/>
    <s v="Faith"/>
  </r>
  <r>
    <n v="1161"/>
    <d v="2025-02-08T00:00:00"/>
    <x v="0"/>
    <x v="2"/>
    <x v="4"/>
    <x v="4"/>
    <n v="12000"/>
    <n v="72000"/>
    <n v="42502.28"/>
    <n v="29497.72"/>
    <s v="Brian"/>
  </r>
  <r>
    <n v="1162"/>
    <d v="2025-07-07T00:00:00"/>
    <x v="1"/>
    <x v="0"/>
    <x v="7"/>
    <x v="6"/>
    <n v="12000"/>
    <n v="84000"/>
    <n v="69854.880000000005"/>
    <n v="14145.12"/>
    <s v="James"/>
  </r>
  <r>
    <n v="1163"/>
    <d v="2025-12-11T00:00:00"/>
    <x v="4"/>
    <x v="1"/>
    <x v="3"/>
    <x v="1"/>
    <n v="150"/>
    <n v="1350"/>
    <n v="957.39"/>
    <n v="392.61"/>
    <s v="Lilian"/>
  </r>
  <r>
    <n v="1164"/>
    <d v="2025-08-30T00:00:00"/>
    <x v="1"/>
    <x v="2"/>
    <x v="6"/>
    <x v="4"/>
    <n v="150"/>
    <n v="900"/>
    <n v="707.57"/>
    <n v="192.43"/>
    <s v="Lilian"/>
  </r>
  <r>
    <n v="1165"/>
    <d v="2025-11-22T00:00:00"/>
    <x v="3"/>
    <x v="0"/>
    <x v="8"/>
    <x v="2"/>
    <n v="250"/>
    <n v="2500"/>
    <n v="1941.7"/>
    <n v="558.29999999999995"/>
    <s v="Peter"/>
  </r>
  <r>
    <n v="1166"/>
    <d v="2025-01-20T00:00:00"/>
    <x v="4"/>
    <x v="2"/>
    <x v="6"/>
    <x v="6"/>
    <n v="150"/>
    <n v="1050"/>
    <n v="628.87"/>
    <n v="421.13"/>
    <s v="James"/>
  </r>
  <r>
    <n v="1167"/>
    <d v="2025-08-21T00:00:00"/>
    <x v="4"/>
    <x v="1"/>
    <x v="2"/>
    <x v="8"/>
    <n v="2500"/>
    <n v="10000"/>
    <n v="5974.82"/>
    <n v="4025.18"/>
    <s v="Peter"/>
  </r>
  <r>
    <n v="1168"/>
    <d v="2025-03-21T00:00:00"/>
    <x v="3"/>
    <x v="0"/>
    <x v="7"/>
    <x v="1"/>
    <n v="1200"/>
    <n v="10800"/>
    <n v="8160.15"/>
    <n v="2639.85"/>
    <s v="Peter"/>
  </r>
  <r>
    <n v="1169"/>
    <d v="2025-05-24T00:00:00"/>
    <x v="1"/>
    <x v="1"/>
    <x v="3"/>
    <x v="2"/>
    <n v="1200"/>
    <n v="12000"/>
    <n v="10544.02"/>
    <n v="1455.98"/>
    <s v="Peter"/>
  </r>
  <r>
    <n v="1170"/>
    <d v="2025-07-05T00:00:00"/>
    <x v="1"/>
    <x v="2"/>
    <x v="5"/>
    <x v="9"/>
    <n v="1200"/>
    <n v="9600"/>
    <n v="8473.8700000000008"/>
    <n v="1126.1300000000001"/>
    <s v="Peter"/>
  </r>
  <r>
    <n v="1171"/>
    <d v="2025-04-08T00:00:00"/>
    <x v="1"/>
    <x v="2"/>
    <x v="6"/>
    <x v="4"/>
    <n v="150"/>
    <n v="900"/>
    <n v="620.41"/>
    <n v="279.58999999999997"/>
    <s v="James"/>
  </r>
  <r>
    <n v="1172"/>
    <d v="2025-01-11T00:00:00"/>
    <x v="1"/>
    <x v="1"/>
    <x v="1"/>
    <x v="8"/>
    <n v="5000"/>
    <n v="20000"/>
    <n v="15476.45"/>
    <n v="4523.55"/>
    <s v="Faith"/>
  </r>
  <r>
    <n v="1173"/>
    <d v="2025-10-11T00:00:00"/>
    <x v="0"/>
    <x v="1"/>
    <x v="2"/>
    <x v="2"/>
    <n v="250"/>
    <n v="2500"/>
    <n v="1435.03"/>
    <n v="1064.97"/>
    <s v="Lilian"/>
  </r>
  <r>
    <n v="1174"/>
    <d v="2025-11-02T00:00:00"/>
    <x v="1"/>
    <x v="1"/>
    <x v="2"/>
    <x v="4"/>
    <n v="12000"/>
    <n v="72000"/>
    <n v="43318.37"/>
    <n v="28681.63"/>
    <s v="Faith"/>
  </r>
  <r>
    <n v="1175"/>
    <d v="2025-02-26T00:00:00"/>
    <x v="1"/>
    <x v="1"/>
    <x v="2"/>
    <x v="1"/>
    <n v="500"/>
    <n v="4500"/>
    <n v="3732.66"/>
    <n v="767.34"/>
    <s v="Brian"/>
  </r>
  <r>
    <n v="1176"/>
    <d v="2025-03-31T00:00:00"/>
    <x v="4"/>
    <x v="1"/>
    <x v="3"/>
    <x v="8"/>
    <n v="2500"/>
    <n v="10000"/>
    <n v="6633.2"/>
    <n v="3366.8"/>
    <s v="Amina"/>
  </r>
  <r>
    <n v="1177"/>
    <d v="2025-02-02T00:00:00"/>
    <x v="3"/>
    <x v="1"/>
    <x v="1"/>
    <x v="6"/>
    <n v="2500"/>
    <n v="17500"/>
    <n v="10321.1"/>
    <n v="7178.9"/>
    <s v="James"/>
  </r>
  <r>
    <n v="1178"/>
    <d v="2025-04-24T00:00:00"/>
    <x v="2"/>
    <x v="2"/>
    <x v="6"/>
    <x v="2"/>
    <n v="150"/>
    <n v="1500"/>
    <n v="1062.3"/>
    <n v="437.7"/>
    <s v="Amina"/>
  </r>
  <r>
    <n v="1179"/>
    <d v="2025-01-16T00:00:00"/>
    <x v="1"/>
    <x v="0"/>
    <x v="7"/>
    <x v="1"/>
    <n v="500"/>
    <n v="4500"/>
    <n v="3196.42"/>
    <n v="1303.58"/>
    <s v="James"/>
  </r>
  <r>
    <n v="1180"/>
    <d v="2025-08-16T00:00:00"/>
    <x v="1"/>
    <x v="2"/>
    <x v="4"/>
    <x v="5"/>
    <n v="1200"/>
    <n v="2400"/>
    <n v="1918.42"/>
    <n v="481.58"/>
    <s v="Amina"/>
  </r>
  <r>
    <n v="1181"/>
    <d v="2025-11-16T00:00:00"/>
    <x v="2"/>
    <x v="2"/>
    <x v="6"/>
    <x v="7"/>
    <n v="150"/>
    <n v="450"/>
    <n v="267.38"/>
    <n v="182.62"/>
    <s v="Lilian"/>
  </r>
  <r>
    <n v="1182"/>
    <d v="2025-08-21T00:00:00"/>
    <x v="2"/>
    <x v="0"/>
    <x v="8"/>
    <x v="6"/>
    <n v="2500"/>
    <n v="17500"/>
    <n v="12874.66"/>
    <n v="4625.34"/>
    <s v="Lilian"/>
  </r>
  <r>
    <n v="1183"/>
    <d v="2025-10-10T00:00:00"/>
    <x v="0"/>
    <x v="2"/>
    <x v="5"/>
    <x v="5"/>
    <n v="12000"/>
    <n v="24000"/>
    <n v="18699.59"/>
    <n v="5300.41"/>
    <s v="James"/>
  </r>
  <r>
    <n v="1184"/>
    <d v="2025-07-24T00:00:00"/>
    <x v="3"/>
    <x v="2"/>
    <x v="5"/>
    <x v="6"/>
    <n v="500"/>
    <n v="3500"/>
    <n v="2938.59"/>
    <n v="561.41"/>
    <s v="Peter"/>
  </r>
  <r>
    <n v="1185"/>
    <d v="2025-07-11T00:00:00"/>
    <x v="0"/>
    <x v="1"/>
    <x v="3"/>
    <x v="6"/>
    <n v="500"/>
    <n v="3500"/>
    <n v="2739.76"/>
    <n v="760.24"/>
    <s v="Peter"/>
  </r>
  <r>
    <n v="1186"/>
    <d v="2025-08-10T00:00:00"/>
    <x v="1"/>
    <x v="2"/>
    <x v="5"/>
    <x v="5"/>
    <n v="12000"/>
    <n v="24000"/>
    <n v="13917.06"/>
    <n v="10082.94"/>
    <s v="Peter"/>
  </r>
  <r>
    <n v="1187"/>
    <d v="2025-10-15T00:00:00"/>
    <x v="2"/>
    <x v="0"/>
    <x v="8"/>
    <x v="7"/>
    <n v="2500"/>
    <n v="7500"/>
    <n v="4282.45"/>
    <n v="3217.55"/>
    <s v="Faith"/>
  </r>
  <r>
    <n v="1188"/>
    <d v="2025-08-05T00:00:00"/>
    <x v="1"/>
    <x v="0"/>
    <x v="0"/>
    <x v="6"/>
    <n v="500"/>
    <n v="3500"/>
    <n v="2995.17"/>
    <n v="504.83"/>
    <s v="Faith"/>
  </r>
  <r>
    <n v="1189"/>
    <d v="2025-04-19T00:00:00"/>
    <x v="0"/>
    <x v="0"/>
    <x v="8"/>
    <x v="4"/>
    <n v="150"/>
    <n v="900"/>
    <n v="677.04"/>
    <n v="222.96"/>
    <s v="Peter"/>
  </r>
  <r>
    <n v="1190"/>
    <d v="2025-07-08T00:00:00"/>
    <x v="1"/>
    <x v="2"/>
    <x v="5"/>
    <x v="5"/>
    <n v="500"/>
    <n v="1000"/>
    <n v="845.88"/>
    <n v="154.12"/>
    <s v="Faith"/>
  </r>
  <r>
    <n v="1191"/>
    <d v="2025-11-15T00:00:00"/>
    <x v="2"/>
    <x v="0"/>
    <x v="0"/>
    <x v="6"/>
    <n v="12000"/>
    <n v="84000"/>
    <n v="62692.39"/>
    <n v="21307.61"/>
    <s v="Peter"/>
  </r>
  <r>
    <n v="1192"/>
    <d v="2025-12-22T00:00:00"/>
    <x v="4"/>
    <x v="0"/>
    <x v="7"/>
    <x v="0"/>
    <n v="2500"/>
    <n v="2500"/>
    <n v="2187.9499999999998"/>
    <n v="312.05"/>
    <s v="Amina"/>
  </r>
  <r>
    <n v="1193"/>
    <d v="2025-04-03T00:00:00"/>
    <x v="0"/>
    <x v="1"/>
    <x v="3"/>
    <x v="3"/>
    <n v="500"/>
    <n v="2500"/>
    <n v="1682.15"/>
    <n v="817.85"/>
    <s v="Lilian"/>
  </r>
  <r>
    <n v="1194"/>
    <d v="2025-01-16T00:00:00"/>
    <x v="1"/>
    <x v="0"/>
    <x v="8"/>
    <x v="5"/>
    <n v="250"/>
    <n v="500"/>
    <n v="404.67"/>
    <n v="95.33"/>
    <s v="Peter"/>
  </r>
  <r>
    <n v="1195"/>
    <d v="2025-03-22T00:00:00"/>
    <x v="4"/>
    <x v="0"/>
    <x v="0"/>
    <x v="6"/>
    <n v="1200"/>
    <n v="8400"/>
    <n v="5953.72"/>
    <n v="2446.2800000000002"/>
    <s v="Faith"/>
  </r>
  <r>
    <n v="1196"/>
    <d v="2025-01-27T00:00:00"/>
    <x v="0"/>
    <x v="0"/>
    <x v="8"/>
    <x v="2"/>
    <n v="2500"/>
    <n v="25000"/>
    <n v="14493.37"/>
    <n v="10506.63"/>
    <s v="Brian"/>
  </r>
  <r>
    <n v="1197"/>
    <d v="2025-08-06T00:00:00"/>
    <x v="3"/>
    <x v="0"/>
    <x v="0"/>
    <x v="5"/>
    <n v="500"/>
    <n v="1000"/>
    <n v="705.09"/>
    <n v="294.91000000000003"/>
    <s v="Lilian"/>
  </r>
  <r>
    <n v="1198"/>
    <d v="2025-02-28T00:00:00"/>
    <x v="4"/>
    <x v="2"/>
    <x v="4"/>
    <x v="3"/>
    <n v="250"/>
    <n v="1250"/>
    <n v="1017.79"/>
    <n v="232.21"/>
    <s v="James"/>
  </r>
  <r>
    <n v="1199"/>
    <d v="2025-06-07T00:00:00"/>
    <x v="1"/>
    <x v="1"/>
    <x v="3"/>
    <x v="2"/>
    <n v="1200"/>
    <n v="12000"/>
    <n v="8813.1200000000008"/>
    <n v="3186.88"/>
    <s v="Brian"/>
  </r>
  <r>
    <n v="1200"/>
    <d v="2025-04-19T00:00:00"/>
    <x v="0"/>
    <x v="2"/>
    <x v="6"/>
    <x v="0"/>
    <n v="150"/>
    <n v="150"/>
    <n v="93.23"/>
    <n v="56.77"/>
    <s v="Faith"/>
  </r>
  <r>
    <n v="1201"/>
    <d v="2025-08-09T00:00:00"/>
    <x v="0"/>
    <x v="2"/>
    <x v="4"/>
    <x v="5"/>
    <n v="150"/>
    <n v="300"/>
    <n v="217.23"/>
    <n v="82.77"/>
    <s v="Brian"/>
  </r>
  <r>
    <n v="1202"/>
    <d v="2025-12-09T00:00:00"/>
    <x v="4"/>
    <x v="2"/>
    <x v="6"/>
    <x v="8"/>
    <n v="2500"/>
    <n v="10000"/>
    <n v="7455.53"/>
    <n v="2544.4699999999998"/>
    <s v="Amina"/>
  </r>
  <r>
    <n v="1203"/>
    <d v="2025-02-09T00:00:00"/>
    <x v="4"/>
    <x v="2"/>
    <x v="6"/>
    <x v="0"/>
    <n v="1200"/>
    <n v="1200"/>
    <n v="667.87"/>
    <n v="532.13"/>
    <s v="Lilian"/>
  </r>
  <r>
    <n v="1204"/>
    <d v="2025-05-29T00:00:00"/>
    <x v="1"/>
    <x v="2"/>
    <x v="6"/>
    <x v="6"/>
    <n v="5000"/>
    <n v="35000"/>
    <n v="27091.74"/>
    <n v="7908.26"/>
    <s v="James"/>
  </r>
  <r>
    <n v="1205"/>
    <d v="2025-08-24T00:00:00"/>
    <x v="4"/>
    <x v="1"/>
    <x v="3"/>
    <x v="7"/>
    <n v="12000"/>
    <n v="36000"/>
    <n v="31739.94"/>
    <n v="4260.0600000000004"/>
    <s v="Amina"/>
  </r>
  <r>
    <n v="1206"/>
    <d v="2025-09-26T00:00:00"/>
    <x v="1"/>
    <x v="2"/>
    <x v="5"/>
    <x v="8"/>
    <n v="1200"/>
    <n v="4800"/>
    <n v="3629.3"/>
    <n v="1170.7"/>
    <s v="James"/>
  </r>
  <r>
    <n v="1207"/>
    <d v="2025-03-28T00:00:00"/>
    <x v="1"/>
    <x v="2"/>
    <x v="6"/>
    <x v="4"/>
    <n v="250"/>
    <n v="1500"/>
    <n v="999.86"/>
    <n v="500.14"/>
    <s v="Lilian"/>
  </r>
  <r>
    <n v="1208"/>
    <d v="2025-06-28T00:00:00"/>
    <x v="4"/>
    <x v="0"/>
    <x v="0"/>
    <x v="1"/>
    <n v="2500"/>
    <n v="22500"/>
    <n v="13901.99"/>
    <n v="8598.01"/>
    <s v="Peter"/>
  </r>
  <r>
    <n v="1209"/>
    <d v="2025-04-12T00:00:00"/>
    <x v="0"/>
    <x v="0"/>
    <x v="0"/>
    <x v="8"/>
    <n v="150"/>
    <n v="600"/>
    <n v="360.75"/>
    <n v="239.25"/>
    <s v="Lilian"/>
  </r>
  <r>
    <n v="1210"/>
    <d v="2025-11-18T00:00:00"/>
    <x v="3"/>
    <x v="1"/>
    <x v="1"/>
    <x v="5"/>
    <n v="250"/>
    <n v="500"/>
    <n v="441.48"/>
    <n v="58.52"/>
    <s v="James"/>
  </r>
  <r>
    <n v="1211"/>
    <d v="2025-10-17T00:00:00"/>
    <x v="2"/>
    <x v="0"/>
    <x v="7"/>
    <x v="9"/>
    <n v="5000"/>
    <n v="40000"/>
    <n v="34938.160000000003"/>
    <n v="5061.84"/>
    <s v="Faith"/>
  </r>
  <r>
    <n v="1212"/>
    <d v="2025-08-15T00:00:00"/>
    <x v="4"/>
    <x v="0"/>
    <x v="8"/>
    <x v="7"/>
    <n v="1200"/>
    <n v="3600"/>
    <n v="2066.04"/>
    <n v="1533.96"/>
    <s v="Faith"/>
  </r>
  <r>
    <n v="1213"/>
    <d v="2025-08-25T00:00:00"/>
    <x v="3"/>
    <x v="0"/>
    <x v="0"/>
    <x v="4"/>
    <n v="2500"/>
    <n v="15000"/>
    <n v="8639.5"/>
    <n v="6360.5"/>
    <s v="Amina"/>
  </r>
  <r>
    <n v="1214"/>
    <d v="2025-02-16T00:00:00"/>
    <x v="2"/>
    <x v="1"/>
    <x v="3"/>
    <x v="3"/>
    <n v="150"/>
    <n v="750"/>
    <n v="581.72"/>
    <n v="168.28"/>
    <s v="Lilian"/>
  </r>
  <r>
    <n v="1215"/>
    <d v="2025-01-22T00:00:00"/>
    <x v="3"/>
    <x v="0"/>
    <x v="8"/>
    <x v="9"/>
    <n v="2500"/>
    <n v="20000"/>
    <n v="14880.21"/>
    <n v="5119.79"/>
    <s v="Lilian"/>
  </r>
  <r>
    <n v="1216"/>
    <d v="2025-03-19T00:00:00"/>
    <x v="1"/>
    <x v="0"/>
    <x v="0"/>
    <x v="4"/>
    <n v="2500"/>
    <n v="15000"/>
    <n v="10747.05"/>
    <n v="4252.95"/>
    <s v="James"/>
  </r>
  <r>
    <n v="1217"/>
    <d v="2025-01-21T00:00:00"/>
    <x v="0"/>
    <x v="1"/>
    <x v="3"/>
    <x v="5"/>
    <n v="2500"/>
    <n v="5000"/>
    <n v="3880.72"/>
    <n v="1119.28"/>
    <s v="Peter"/>
  </r>
  <r>
    <n v="1218"/>
    <d v="2025-07-06T00:00:00"/>
    <x v="4"/>
    <x v="2"/>
    <x v="4"/>
    <x v="1"/>
    <n v="2500"/>
    <n v="22500"/>
    <n v="17177.22"/>
    <n v="5322.78"/>
    <s v="Faith"/>
  </r>
  <r>
    <n v="1219"/>
    <d v="2025-11-20T00:00:00"/>
    <x v="4"/>
    <x v="2"/>
    <x v="4"/>
    <x v="4"/>
    <n v="5000"/>
    <n v="30000"/>
    <n v="22777.8"/>
    <n v="7222.2"/>
    <s v="Amina"/>
  </r>
  <r>
    <n v="1220"/>
    <d v="2025-05-10T00:00:00"/>
    <x v="2"/>
    <x v="2"/>
    <x v="5"/>
    <x v="1"/>
    <n v="5000"/>
    <n v="45000"/>
    <n v="30838.39"/>
    <n v="14161.61"/>
    <s v="Brian"/>
  </r>
  <r>
    <n v="1221"/>
    <d v="2025-06-29T00:00:00"/>
    <x v="4"/>
    <x v="2"/>
    <x v="5"/>
    <x v="2"/>
    <n v="5000"/>
    <n v="50000"/>
    <n v="29975"/>
    <n v="20025"/>
    <s v="Peter"/>
  </r>
  <r>
    <n v="1222"/>
    <d v="2025-02-13T00:00:00"/>
    <x v="4"/>
    <x v="0"/>
    <x v="7"/>
    <x v="6"/>
    <n v="250"/>
    <n v="1750"/>
    <n v="1326.96"/>
    <n v="423.04"/>
    <s v="Lilian"/>
  </r>
  <r>
    <n v="1223"/>
    <d v="2025-12-26T00:00:00"/>
    <x v="2"/>
    <x v="2"/>
    <x v="6"/>
    <x v="4"/>
    <n v="12000"/>
    <n v="72000"/>
    <n v="42820.4"/>
    <n v="29179.599999999999"/>
    <s v="Amina"/>
  </r>
  <r>
    <n v="1224"/>
    <d v="2025-07-05T00:00:00"/>
    <x v="4"/>
    <x v="0"/>
    <x v="7"/>
    <x v="6"/>
    <n v="2500"/>
    <n v="17500"/>
    <n v="11841.2"/>
    <n v="5658.8"/>
    <s v="Brian"/>
  </r>
  <r>
    <n v="1225"/>
    <d v="2025-03-12T00:00:00"/>
    <x v="0"/>
    <x v="1"/>
    <x v="3"/>
    <x v="9"/>
    <n v="250"/>
    <n v="2000"/>
    <n v="1258.58"/>
    <n v="741.42"/>
    <s v="Amina"/>
  </r>
  <r>
    <n v="1226"/>
    <d v="2025-09-27T00:00:00"/>
    <x v="1"/>
    <x v="2"/>
    <x v="5"/>
    <x v="1"/>
    <n v="12000"/>
    <n v="108000"/>
    <n v="79803.33"/>
    <n v="28196.67"/>
    <s v="Peter"/>
  </r>
  <r>
    <n v="1227"/>
    <d v="2025-03-25T00:00:00"/>
    <x v="0"/>
    <x v="2"/>
    <x v="6"/>
    <x v="7"/>
    <n v="2500"/>
    <n v="7500"/>
    <n v="5113.8900000000003"/>
    <n v="2386.11"/>
    <s v="Peter"/>
  </r>
  <r>
    <n v="1228"/>
    <d v="2025-12-13T00:00:00"/>
    <x v="0"/>
    <x v="0"/>
    <x v="0"/>
    <x v="9"/>
    <n v="150"/>
    <n v="1200"/>
    <n v="832.56"/>
    <n v="367.44"/>
    <s v="James"/>
  </r>
  <r>
    <n v="1229"/>
    <d v="2025-06-08T00:00:00"/>
    <x v="3"/>
    <x v="0"/>
    <x v="8"/>
    <x v="9"/>
    <n v="250"/>
    <n v="2000"/>
    <n v="1473.81"/>
    <n v="526.19000000000005"/>
    <s v="Brian"/>
  </r>
  <r>
    <n v="1230"/>
    <d v="2025-05-25T00:00:00"/>
    <x v="3"/>
    <x v="2"/>
    <x v="6"/>
    <x v="2"/>
    <n v="1200"/>
    <n v="12000"/>
    <n v="8539.06"/>
    <n v="3460.94"/>
    <s v="Lilian"/>
  </r>
  <r>
    <n v="1231"/>
    <d v="2025-11-06T00:00:00"/>
    <x v="0"/>
    <x v="0"/>
    <x v="8"/>
    <x v="7"/>
    <n v="12000"/>
    <n v="36000"/>
    <n v="22316.19"/>
    <n v="13683.81"/>
    <s v="Faith"/>
  </r>
  <r>
    <n v="1232"/>
    <d v="2025-02-22T00:00:00"/>
    <x v="2"/>
    <x v="1"/>
    <x v="1"/>
    <x v="9"/>
    <n v="12000"/>
    <n v="96000"/>
    <n v="65272.73"/>
    <n v="30727.27"/>
    <s v="Amina"/>
  </r>
  <r>
    <n v="1233"/>
    <d v="2025-09-20T00:00:00"/>
    <x v="0"/>
    <x v="2"/>
    <x v="5"/>
    <x v="7"/>
    <n v="500"/>
    <n v="1500"/>
    <n v="1060.8900000000001"/>
    <n v="439.11"/>
    <s v="James"/>
  </r>
  <r>
    <n v="1234"/>
    <d v="2025-08-01T00:00:00"/>
    <x v="1"/>
    <x v="1"/>
    <x v="2"/>
    <x v="9"/>
    <n v="500"/>
    <n v="4000"/>
    <n v="3502.66"/>
    <n v="497.34"/>
    <s v="James"/>
  </r>
  <r>
    <n v="1235"/>
    <d v="2025-07-11T00:00:00"/>
    <x v="0"/>
    <x v="0"/>
    <x v="8"/>
    <x v="8"/>
    <n v="1200"/>
    <n v="4800"/>
    <n v="4310.8"/>
    <n v="489.2"/>
    <s v="Amina"/>
  </r>
  <r>
    <n v="1236"/>
    <d v="2025-01-20T00:00:00"/>
    <x v="4"/>
    <x v="2"/>
    <x v="5"/>
    <x v="4"/>
    <n v="12000"/>
    <n v="72000"/>
    <n v="43280.44"/>
    <n v="28719.56"/>
    <s v="James"/>
  </r>
  <r>
    <n v="1237"/>
    <d v="2025-02-10T00:00:00"/>
    <x v="1"/>
    <x v="0"/>
    <x v="0"/>
    <x v="9"/>
    <n v="1200"/>
    <n v="9600"/>
    <n v="7347.57"/>
    <n v="2252.4299999999998"/>
    <s v="Faith"/>
  </r>
  <r>
    <n v="1238"/>
    <d v="2025-08-05T00:00:00"/>
    <x v="1"/>
    <x v="1"/>
    <x v="2"/>
    <x v="1"/>
    <n v="5000"/>
    <n v="45000"/>
    <n v="34339.86"/>
    <n v="10660.14"/>
    <s v="Faith"/>
  </r>
  <r>
    <n v="1239"/>
    <d v="2025-11-24T00:00:00"/>
    <x v="2"/>
    <x v="1"/>
    <x v="3"/>
    <x v="5"/>
    <n v="150"/>
    <n v="300"/>
    <n v="190.04"/>
    <n v="109.96"/>
    <s v="James"/>
  </r>
  <r>
    <n v="1240"/>
    <d v="2025-11-20T00:00:00"/>
    <x v="2"/>
    <x v="1"/>
    <x v="2"/>
    <x v="9"/>
    <n v="2500"/>
    <n v="20000"/>
    <n v="14752.38"/>
    <n v="5247.62"/>
    <s v="Lilian"/>
  </r>
  <r>
    <n v="1241"/>
    <d v="2025-11-11T00:00:00"/>
    <x v="4"/>
    <x v="1"/>
    <x v="1"/>
    <x v="7"/>
    <n v="500"/>
    <n v="1500"/>
    <n v="1050.3499999999999"/>
    <n v="449.65"/>
    <s v="Brian"/>
  </r>
  <r>
    <n v="1242"/>
    <d v="2025-09-26T00:00:00"/>
    <x v="4"/>
    <x v="0"/>
    <x v="8"/>
    <x v="7"/>
    <n v="5000"/>
    <n v="15000"/>
    <n v="11758.13"/>
    <n v="3241.87"/>
    <s v="Amina"/>
  </r>
  <r>
    <n v="1243"/>
    <d v="2025-10-11T00:00:00"/>
    <x v="1"/>
    <x v="0"/>
    <x v="7"/>
    <x v="1"/>
    <n v="12000"/>
    <n v="108000"/>
    <n v="96758.93"/>
    <n v="11241.07"/>
    <s v="James"/>
  </r>
  <r>
    <n v="1244"/>
    <d v="2025-01-09T00:00:00"/>
    <x v="4"/>
    <x v="2"/>
    <x v="5"/>
    <x v="6"/>
    <n v="500"/>
    <n v="3500"/>
    <n v="2235.7199999999998"/>
    <n v="1264.28"/>
    <s v="Amina"/>
  </r>
  <r>
    <n v="1245"/>
    <d v="2025-06-20T00:00:00"/>
    <x v="0"/>
    <x v="2"/>
    <x v="5"/>
    <x v="5"/>
    <n v="12000"/>
    <n v="24000"/>
    <n v="18087.990000000002"/>
    <n v="5912.01"/>
    <s v="Amina"/>
  </r>
  <r>
    <n v="1246"/>
    <d v="2025-12-17T00:00:00"/>
    <x v="3"/>
    <x v="2"/>
    <x v="6"/>
    <x v="4"/>
    <n v="12000"/>
    <n v="72000"/>
    <n v="55798.45"/>
    <n v="16201.55"/>
    <s v="Peter"/>
  </r>
  <r>
    <n v="1247"/>
    <d v="2025-08-23T00:00:00"/>
    <x v="1"/>
    <x v="2"/>
    <x v="6"/>
    <x v="7"/>
    <n v="12000"/>
    <n v="36000"/>
    <n v="21499.14"/>
    <n v="14500.86"/>
    <s v="Faith"/>
  </r>
  <r>
    <n v="1248"/>
    <d v="2025-06-08T00:00:00"/>
    <x v="2"/>
    <x v="1"/>
    <x v="2"/>
    <x v="8"/>
    <n v="150"/>
    <n v="600"/>
    <n v="396.28"/>
    <n v="203.72"/>
    <s v="James"/>
  </r>
  <r>
    <n v="1249"/>
    <d v="2025-04-08T00:00:00"/>
    <x v="4"/>
    <x v="0"/>
    <x v="8"/>
    <x v="3"/>
    <n v="150"/>
    <n v="750"/>
    <n v="610.24"/>
    <n v="139.76"/>
    <s v="Faith"/>
  </r>
  <r>
    <n v="1250"/>
    <d v="2025-07-08T00:00:00"/>
    <x v="3"/>
    <x v="1"/>
    <x v="1"/>
    <x v="4"/>
    <n v="500"/>
    <n v="3000"/>
    <n v="1780.7"/>
    <n v="1219.3"/>
    <s v="James"/>
  </r>
  <r>
    <n v="1251"/>
    <d v="2025-09-12T00:00:00"/>
    <x v="3"/>
    <x v="0"/>
    <x v="8"/>
    <x v="6"/>
    <n v="500"/>
    <n v="3500"/>
    <n v="3117.81"/>
    <n v="382.19"/>
    <s v="Faith"/>
  </r>
  <r>
    <n v="1252"/>
    <d v="2025-08-09T00:00:00"/>
    <x v="2"/>
    <x v="0"/>
    <x v="8"/>
    <x v="5"/>
    <n v="5000"/>
    <n v="10000"/>
    <n v="6985.75"/>
    <n v="3014.25"/>
    <s v="Brian"/>
  </r>
  <r>
    <n v="1253"/>
    <d v="2025-12-05T00:00:00"/>
    <x v="4"/>
    <x v="0"/>
    <x v="8"/>
    <x v="4"/>
    <n v="150"/>
    <n v="900"/>
    <n v="520.22"/>
    <n v="379.78"/>
    <s v="Faith"/>
  </r>
  <r>
    <n v="1254"/>
    <d v="2025-06-29T00:00:00"/>
    <x v="3"/>
    <x v="2"/>
    <x v="6"/>
    <x v="6"/>
    <n v="250"/>
    <n v="1750"/>
    <n v="1384.98"/>
    <n v="365.02"/>
    <s v="Amina"/>
  </r>
  <r>
    <n v="1255"/>
    <d v="2025-01-30T00:00:00"/>
    <x v="1"/>
    <x v="0"/>
    <x v="8"/>
    <x v="2"/>
    <n v="1200"/>
    <n v="12000"/>
    <n v="7753.13"/>
    <n v="4246.87"/>
    <s v="Peter"/>
  </r>
  <r>
    <n v="1256"/>
    <d v="2025-12-14T00:00:00"/>
    <x v="0"/>
    <x v="0"/>
    <x v="8"/>
    <x v="4"/>
    <n v="2500"/>
    <n v="15000"/>
    <n v="12455.75"/>
    <n v="2544.25"/>
    <s v="Amina"/>
  </r>
  <r>
    <n v="1257"/>
    <d v="2025-05-01T00:00:00"/>
    <x v="4"/>
    <x v="1"/>
    <x v="1"/>
    <x v="9"/>
    <n v="150"/>
    <n v="1200"/>
    <n v="713.02"/>
    <n v="486.98"/>
    <s v="Faith"/>
  </r>
  <r>
    <n v="1258"/>
    <d v="2025-08-19T00:00:00"/>
    <x v="4"/>
    <x v="2"/>
    <x v="6"/>
    <x v="0"/>
    <n v="2500"/>
    <n v="2500"/>
    <n v="1509.26"/>
    <n v="990.74"/>
    <s v="Faith"/>
  </r>
  <r>
    <n v="1259"/>
    <d v="2025-07-23T00:00:00"/>
    <x v="4"/>
    <x v="2"/>
    <x v="5"/>
    <x v="2"/>
    <n v="250"/>
    <n v="2500"/>
    <n v="1838.28"/>
    <n v="661.72"/>
    <s v="Peter"/>
  </r>
  <r>
    <n v="1260"/>
    <d v="2025-09-13T00:00:00"/>
    <x v="2"/>
    <x v="2"/>
    <x v="5"/>
    <x v="5"/>
    <n v="150"/>
    <n v="300"/>
    <n v="242.25"/>
    <n v="57.75"/>
    <s v="James"/>
  </r>
  <r>
    <n v="1261"/>
    <d v="2025-08-17T00:00:00"/>
    <x v="0"/>
    <x v="0"/>
    <x v="0"/>
    <x v="3"/>
    <n v="12000"/>
    <n v="60000"/>
    <n v="38466.089999999997"/>
    <n v="21533.91"/>
    <s v="Lilian"/>
  </r>
  <r>
    <n v="1262"/>
    <d v="2025-02-07T00:00:00"/>
    <x v="3"/>
    <x v="2"/>
    <x v="6"/>
    <x v="9"/>
    <n v="250"/>
    <n v="2000"/>
    <n v="1185.8499999999999"/>
    <n v="814.15"/>
    <s v="Brian"/>
  </r>
  <r>
    <n v="1263"/>
    <d v="2025-06-13T00:00:00"/>
    <x v="4"/>
    <x v="0"/>
    <x v="8"/>
    <x v="5"/>
    <n v="12000"/>
    <n v="24000"/>
    <n v="18928.21"/>
    <n v="5071.79"/>
    <s v="Peter"/>
  </r>
  <r>
    <n v="1264"/>
    <d v="2025-03-22T00:00:00"/>
    <x v="0"/>
    <x v="1"/>
    <x v="1"/>
    <x v="1"/>
    <n v="500"/>
    <n v="4500"/>
    <n v="3878.85"/>
    <n v="621.15"/>
    <s v="Faith"/>
  </r>
  <r>
    <n v="1265"/>
    <d v="2025-05-02T00:00:00"/>
    <x v="3"/>
    <x v="0"/>
    <x v="0"/>
    <x v="5"/>
    <n v="250"/>
    <n v="500"/>
    <n v="413.61"/>
    <n v="86.39"/>
    <s v="Amina"/>
  </r>
  <r>
    <n v="1266"/>
    <d v="2025-10-10T00:00:00"/>
    <x v="0"/>
    <x v="2"/>
    <x v="6"/>
    <x v="2"/>
    <n v="500"/>
    <n v="5000"/>
    <n v="3567.96"/>
    <n v="1432.04"/>
    <s v="Lilian"/>
  </r>
  <r>
    <n v="1267"/>
    <d v="2025-09-03T00:00:00"/>
    <x v="2"/>
    <x v="1"/>
    <x v="2"/>
    <x v="3"/>
    <n v="1200"/>
    <n v="6000"/>
    <n v="5399.15"/>
    <n v="600.85"/>
    <s v="James"/>
  </r>
  <r>
    <n v="1268"/>
    <d v="2025-11-25T00:00:00"/>
    <x v="1"/>
    <x v="2"/>
    <x v="6"/>
    <x v="5"/>
    <n v="250"/>
    <n v="500"/>
    <n v="445.17"/>
    <n v="54.83"/>
    <s v="James"/>
  </r>
  <r>
    <n v="1269"/>
    <d v="2025-10-10T00:00:00"/>
    <x v="2"/>
    <x v="2"/>
    <x v="6"/>
    <x v="1"/>
    <n v="500"/>
    <n v="4500"/>
    <n v="2677.13"/>
    <n v="1822.87"/>
    <s v="Brian"/>
  </r>
  <r>
    <n v="1270"/>
    <d v="2025-03-05T00:00:00"/>
    <x v="2"/>
    <x v="1"/>
    <x v="3"/>
    <x v="1"/>
    <n v="12000"/>
    <n v="108000"/>
    <n v="61494.61"/>
    <n v="46505.39"/>
    <s v="Brian"/>
  </r>
  <r>
    <n v="1271"/>
    <d v="2025-04-26T00:00:00"/>
    <x v="4"/>
    <x v="2"/>
    <x v="5"/>
    <x v="7"/>
    <n v="500"/>
    <n v="1500"/>
    <n v="1315.74"/>
    <n v="184.26"/>
    <s v="Lilian"/>
  </r>
  <r>
    <n v="1272"/>
    <d v="2025-10-10T00:00:00"/>
    <x v="4"/>
    <x v="2"/>
    <x v="5"/>
    <x v="3"/>
    <n v="250"/>
    <n v="1250"/>
    <n v="965.34"/>
    <n v="284.66000000000003"/>
    <s v="Brian"/>
  </r>
  <r>
    <n v="1273"/>
    <d v="2025-11-25T00:00:00"/>
    <x v="0"/>
    <x v="0"/>
    <x v="8"/>
    <x v="2"/>
    <n v="2500"/>
    <n v="25000"/>
    <n v="14567.5"/>
    <n v="10432.5"/>
    <s v="Lilian"/>
  </r>
  <r>
    <n v="1274"/>
    <d v="2025-11-06T00:00:00"/>
    <x v="4"/>
    <x v="0"/>
    <x v="0"/>
    <x v="7"/>
    <n v="5000"/>
    <n v="15000"/>
    <n v="11528.52"/>
    <n v="3471.48"/>
    <s v="Lilian"/>
  </r>
  <r>
    <n v="1275"/>
    <d v="2025-10-23T00:00:00"/>
    <x v="4"/>
    <x v="1"/>
    <x v="2"/>
    <x v="5"/>
    <n v="150"/>
    <n v="300"/>
    <n v="264.60000000000002"/>
    <n v="35.4"/>
    <s v="Peter"/>
  </r>
  <r>
    <n v="1276"/>
    <d v="2025-09-12T00:00:00"/>
    <x v="2"/>
    <x v="1"/>
    <x v="1"/>
    <x v="6"/>
    <n v="2500"/>
    <n v="17500"/>
    <n v="13538.82"/>
    <n v="3961.18"/>
    <s v="Faith"/>
  </r>
  <r>
    <n v="1277"/>
    <d v="2025-12-17T00:00:00"/>
    <x v="3"/>
    <x v="0"/>
    <x v="8"/>
    <x v="9"/>
    <n v="250"/>
    <n v="2000"/>
    <n v="1663.28"/>
    <n v="336.72"/>
    <s v="Faith"/>
  </r>
  <r>
    <n v="1278"/>
    <d v="2025-09-05T00:00:00"/>
    <x v="3"/>
    <x v="2"/>
    <x v="5"/>
    <x v="0"/>
    <n v="250"/>
    <n v="250"/>
    <n v="175.97"/>
    <n v="74.03"/>
    <s v="Brian"/>
  </r>
  <r>
    <n v="1279"/>
    <d v="2025-06-13T00:00:00"/>
    <x v="4"/>
    <x v="2"/>
    <x v="6"/>
    <x v="7"/>
    <n v="500"/>
    <n v="1500"/>
    <n v="1277.28"/>
    <n v="222.72"/>
    <s v="James"/>
  </r>
  <r>
    <n v="1280"/>
    <d v="2025-05-04T00:00:00"/>
    <x v="3"/>
    <x v="1"/>
    <x v="3"/>
    <x v="1"/>
    <n v="2500"/>
    <n v="22500"/>
    <n v="13211.2"/>
    <n v="9288.7999999999993"/>
    <s v="Amina"/>
  </r>
  <r>
    <n v="1281"/>
    <d v="2025-05-29T00:00:00"/>
    <x v="3"/>
    <x v="2"/>
    <x v="4"/>
    <x v="8"/>
    <n v="250"/>
    <n v="1000"/>
    <n v="583.88"/>
    <n v="416.12"/>
    <s v="Lilian"/>
  </r>
  <r>
    <n v="1282"/>
    <d v="2025-10-23T00:00:00"/>
    <x v="4"/>
    <x v="2"/>
    <x v="5"/>
    <x v="7"/>
    <n v="12000"/>
    <n v="36000"/>
    <n v="23925.69"/>
    <n v="12074.31"/>
    <s v="Brian"/>
  </r>
  <r>
    <n v="1283"/>
    <d v="2025-06-07T00:00:00"/>
    <x v="3"/>
    <x v="1"/>
    <x v="3"/>
    <x v="1"/>
    <n v="1200"/>
    <n v="10800"/>
    <n v="7825.31"/>
    <n v="2974.69"/>
    <s v="Amina"/>
  </r>
  <r>
    <n v="1284"/>
    <d v="2025-04-21T00:00:00"/>
    <x v="2"/>
    <x v="1"/>
    <x v="3"/>
    <x v="1"/>
    <n v="1200"/>
    <n v="10800"/>
    <n v="9594.08"/>
    <n v="1205.92"/>
    <s v="Faith"/>
  </r>
  <r>
    <n v="1285"/>
    <d v="2025-12-01T00:00:00"/>
    <x v="3"/>
    <x v="1"/>
    <x v="2"/>
    <x v="3"/>
    <n v="1200"/>
    <n v="6000"/>
    <n v="4554.79"/>
    <n v="1445.21"/>
    <s v="Faith"/>
  </r>
  <r>
    <n v="1286"/>
    <d v="2025-05-16T00:00:00"/>
    <x v="4"/>
    <x v="0"/>
    <x v="0"/>
    <x v="5"/>
    <n v="1200"/>
    <n v="2400"/>
    <n v="1432.51"/>
    <n v="967.49"/>
    <s v="James"/>
  </r>
  <r>
    <n v="1287"/>
    <d v="2025-04-10T00:00:00"/>
    <x v="4"/>
    <x v="2"/>
    <x v="5"/>
    <x v="6"/>
    <n v="150"/>
    <n v="1050"/>
    <n v="787.08"/>
    <n v="262.92"/>
    <s v="Lilian"/>
  </r>
  <r>
    <n v="1288"/>
    <d v="2025-10-09T00:00:00"/>
    <x v="4"/>
    <x v="2"/>
    <x v="5"/>
    <x v="6"/>
    <n v="2500"/>
    <n v="17500"/>
    <n v="12383.42"/>
    <n v="5116.58"/>
    <s v="Lilian"/>
  </r>
  <r>
    <n v="1289"/>
    <d v="2025-07-21T00:00:00"/>
    <x v="4"/>
    <x v="0"/>
    <x v="7"/>
    <x v="5"/>
    <n v="250"/>
    <n v="500"/>
    <n v="445.64"/>
    <n v="54.36"/>
    <s v="Faith"/>
  </r>
  <r>
    <n v="1290"/>
    <d v="2025-07-25T00:00:00"/>
    <x v="2"/>
    <x v="0"/>
    <x v="8"/>
    <x v="7"/>
    <n v="250"/>
    <n v="750"/>
    <n v="570.65"/>
    <n v="179.35"/>
    <s v="Amina"/>
  </r>
  <r>
    <n v="1291"/>
    <d v="2025-08-31T00:00:00"/>
    <x v="2"/>
    <x v="1"/>
    <x v="2"/>
    <x v="7"/>
    <n v="5000"/>
    <n v="15000"/>
    <n v="9998.4599999999991"/>
    <n v="5001.54"/>
    <s v="James"/>
  </r>
  <r>
    <n v="1292"/>
    <d v="2025-11-10T00:00:00"/>
    <x v="4"/>
    <x v="1"/>
    <x v="1"/>
    <x v="1"/>
    <n v="250"/>
    <n v="2250"/>
    <n v="1495.77"/>
    <n v="754.23"/>
    <s v="Brian"/>
  </r>
  <r>
    <n v="1293"/>
    <d v="2025-09-18T00:00:00"/>
    <x v="2"/>
    <x v="2"/>
    <x v="6"/>
    <x v="3"/>
    <n v="2500"/>
    <n v="12500"/>
    <n v="8346.6299999999992"/>
    <n v="4153.37"/>
    <s v="James"/>
  </r>
  <r>
    <n v="1294"/>
    <d v="2025-07-08T00:00:00"/>
    <x v="4"/>
    <x v="0"/>
    <x v="7"/>
    <x v="3"/>
    <n v="1200"/>
    <n v="6000"/>
    <n v="5013.07"/>
    <n v="986.93"/>
    <s v="Peter"/>
  </r>
  <r>
    <n v="1295"/>
    <d v="2025-12-19T00:00:00"/>
    <x v="1"/>
    <x v="1"/>
    <x v="3"/>
    <x v="2"/>
    <n v="500"/>
    <n v="5000"/>
    <n v="4144.32"/>
    <n v="855.68"/>
    <s v="Lilian"/>
  </r>
  <r>
    <n v="1296"/>
    <d v="2025-01-27T00:00:00"/>
    <x v="2"/>
    <x v="2"/>
    <x v="4"/>
    <x v="2"/>
    <n v="2500"/>
    <n v="25000"/>
    <n v="15741"/>
    <n v="9259"/>
    <s v="James"/>
  </r>
  <r>
    <n v="1297"/>
    <d v="2025-03-17T00:00:00"/>
    <x v="0"/>
    <x v="1"/>
    <x v="1"/>
    <x v="2"/>
    <n v="12000"/>
    <n v="120000"/>
    <n v="101329.02"/>
    <n v="18670.98"/>
    <s v="Amina"/>
  </r>
  <r>
    <n v="1298"/>
    <d v="2025-06-10T00:00:00"/>
    <x v="3"/>
    <x v="0"/>
    <x v="7"/>
    <x v="5"/>
    <n v="250"/>
    <n v="500"/>
    <n v="278.31"/>
    <n v="221.69"/>
    <s v="Brian"/>
  </r>
  <r>
    <n v="1299"/>
    <d v="2025-11-10T00:00:00"/>
    <x v="3"/>
    <x v="2"/>
    <x v="6"/>
    <x v="8"/>
    <n v="1200"/>
    <n v="4800"/>
    <n v="3483.06"/>
    <n v="1316.94"/>
    <s v="Peter"/>
  </r>
  <r>
    <n v="1300"/>
    <d v="2025-06-16T00:00:00"/>
    <x v="3"/>
    <x v="0"/>
    <x v="0"/>
    <x v="7"/>
    <n v="2500"/>
    <n v="7500"/>
    <n v="4669.2700000000004"/>
    <n v="2830.73"/>
    <s v="Lilian"/>
  </r>
  <r>
    <n v="1301"/>
    <d v="2025-06-25T00:00:00"/>
    <x v="2"/>
    <x v="2"/>
    <x v="4"/>
    <x v="7"/>
    <n v="1200"/>
    <n v="3600"/>
    <n v="3129.28"/>
    <n v="470.72"/>
    <s v="Faith"/>
  </r>
  <r>
    <n v="1302"/>
    <d v="2025-05-07T00:00:00"/>
    <x v="4"/>
    <x v="0"/>
    <x v="7"/>
    <x v="3"/>
    <n v="2500"/>
    <n v="12500"/>
    <n v="8993.2900000000009"/>
    <n v="3506.71"/>
    <s v="Lilian"/>
  </r>
  <r>
    <n v="1303"/>
    <d v="2025-04-17T00:00:00"/>
    <x v="3"/>
    <x v="2"/>
    <x v="5"/>
    <x v="3"/>
    <n v="12000"/>
    <n v="60000"/>
    <n v="39069.089999999997"/>
    <n v="20930.91"/>
    <s v="Faith"/>
  </r>
  <r>
    <n v="1304"/>
    <d v="2025-05-28T00:00:00"/>
    <x v="1"/>
    <x v="2"/>
    <x v="4"/>
    <x v="1"/>
    <n v="12000"/>
    <n v="108000"/>
    <n v="86678.91"/>
    <n v="21321.09"/>
    <s v="Lilian"/>
  </r>
  <r>
    <n v="1305"/>
    <d v="2025-03-16T00:00:00"/>
    <x v="4"/>
    <x v="0"/>
    <x v="7"/>
    <x v="6"/>
    <n v="1200"/>
    <n v="8400"/>
    <n v="7026.03"/>
    <n v="1373.97"/>
    <s v="Amina"/>
  </r>
  <r>
    <n v="1306"/>
    <d v="2025-12-02T00:00:00"/>
    <x v="4"/>
    <x v="2"/>
    <x v="6"/>
    <x v="5"/>
    <n v="500"/>
    <n v="1000"/>
    <n v="873.4"/>
    <n v="126.6"/>
    <s v="Peter"/>
  </r>
  <r>
    <n v="1307"/>
    <d v="2025-10-15T00:00:00"/>
    <x v="4"/>
    <x v="2"/>
    <x v="5"/>
    <x v="8"/>
    <n v="12000"/>
    <n v="48000"/>
    <n v="35448.11"/>
    <n v="12551.89"/>
    <s v="Brian"/>
  </r>
  <r>
    <n v="1308"/>
    <d v="2025-12-09T00:00:00"/>
    <x v="2"/>
    <x v="1"/>
    <x v="1"/>
    <x v="2"/>
    <n v="250"/>
    <n v="2500"/>
    <n v="1587.15"/>
    <n v="912.85"/>
    <s v="Brian"/>
  </r>
  <r>
    <n v="1309"/>
    <d v="2025-08-30T00:00:00"/>
    <x v="1"/>
    <x v="0"/>
    <x v="0"/>
    <x v="0"/>
    <n v="150"/>
    <n v="150"/>
    <n v="104.2"/>
    <n v="45.8"/>
    <s v="Peter"/>
  </r>
  <r>
    <n v="1310"/>
    <d v="2025-09-01T00:00:00"/>
    <x v="3"/>
    <x v="1"/>
    <x v="2"/>
    <x v="1"/>
    <n v="250"/>
    <n v="2250"/>
    <n v="1557.94"/>
    <n v="692.06"/>
    <s v="Peter"/>
  </r>
  <r>
    <n v="1311"/>
    <d v="2025-02-15T00:00:00"/>
    <x v="2"/>
    <x v="1"/>
    <x v="3"/>
    <x v="4"/>
    <n v="500"/>
    <n v="3000"/>
    <n v="2328.19"/>
    <n v="671.81"/>
    <s v="Brian"/>
  </r>
  <r>
    <n v="1312"/>
    <d v="2025-04-01T00:00:00"/>
    <x v="1"/>
    <x v="0"/>
    <x v="7"/>
    <x v="0"/>
    <n v="250"/>
    <n v="250"/>
    <n v="174.06"/>
    <n v="75.94"/>
    <s v="James"/>
  </r>
  <r>
    <n v="1313"/>
    <d v="2025-10-18T00:00:00"/>
    <x v="2"/>
    <x v="2"/>
    <x v="5"/>
    <x v="3"/>
    <n v="150"/>
    <n v="750"/>
    <n v="414.93"/>
    <n v="335.07"/>
    <s v="Amina"/>
  </r>
  <r>
    <n v="1314"/>
    <d v="2025-09-10T00:00:00"/>
    <x v="0"/>
    <x v="2"/>
    <x v="4"/>
    <x v="9"/>
    <n v="5000"/>
    <n v="40000"/>
    <n v="29606.21"/>
    <n v="10393.790000000001"/>
    <s v="Lilian"/>
  </r>
  <r>
    <n v="1315"/>
    <d v="2025-03-25T00:00:00"/>
    <x v="3"/>
    <x v="2"/>
    <x v="4"/>
    <x v="8"/>
    <n v="12000"/>
    <n v="48000"/>
    <n v="28292.47"/>
    <n v="19707.53"/>
    <s v="Peter"/>
  </r>
  <r>
    <n v="1316"/>
    <d v="2025-06-01T00:00:00"/>
    <x v="2"/>
    <x v="2"/>
    <x v="6"/>
    <x v="7"/>
    <n v="150"/>
    <n v="450"/>
    <n v="363.52"/>
    <n v="86.48"/>
    <s v="Peter"/>
  </r>
  <r>
    <n v="1317"/>
    <d v="2025-07-27T00:00:00"/>
    <x v="3"/>
    <x v="1"/>
    <x v="2"/>
    <x v="2"/>
    <n v="12000"/>
    <n v="120000"/>
    <n v="92826.48"/>
    <n v="27173.52"/>
    <s v="Lilian"/>
  </r>
  <r>
    <n v="1318"/>
    <d v="2025-03-13T00:00:00"/>
    <x v="3"/>
    <x v="2"/>
    <x v="5"/>
    <x v="6"/>
    <n v="5000"/>
    <n v="35000"/>
    <n v="20418.47"/>
    <n v="14581.53"/>
    <s v="Faith"/>
  </r>
  <r>
    <n v="1319"/>
    <d v="2025-05-17T00:00:00"/>
    <x v="4"/>
    <x v="1"/>
    <x v="2"/>
    <x v="3"/>
    <n v="1200"/>
    <n v="6000"/>
    <n v="3794.59"/>
    <n v="2205.41"/>
    <s v="Faith"/>
  </r>
  <r>
    <n v="1320"/>
    <d v="2025-07-04T00:00:00"/>
    <x v="0"/>
    <x v="0"/>
    <x v="7"/>
    <x v="2"/>
    <n v="150"/>
    <n v="1500"/>
    <n v="962.32"/>
    <n v="537.67999999999995"/>
    <s v="Amina"/>
  </r>
  <r>
    <n v="1321"/>
    <d v="2025-12-18T00:00:00"/>
    <x v="2"/>
    <x v="0"/>
    <x v="0"/>
    <x v="9"/>
    <n v="500"/>
    <n v="4000"/>
    <n v="2423.6"/>
    <n v="1576.4"/>
    <s v="Peter"/>
  </r>
  <r>
    <n v="1322"/>
    <d v="2025-06-01T00:00:00"/>
    <x v="4"/>
    <x v="2"/>
    <x v="6"/>
    <x v="5"/>
    <n v="5000"/>
    <n v="10000"/>
    <n v="8706.4599999999991"/>
    <n v="1293.54"/>
    <s v="Lilian"/>
  </r>
  <r>
    <n v="1323"/>
    <d v="2025-11-07T00:00:00"/>
    <x v="4"/>
    <x v="1"/>
    <x v="2"/>
    <x v="7"/>
    <n v="1200"/>
    <n v="3600"/>
    <n v="2173.0100000000002"/>
    <n v="1426.99"/>
    <s v="James"/>
  </r>
  <r>
    <n v="1324"/>
    <d v="2025-12-07T00:00:00"/>
    <x v="0"/>
    <x v="0"/>
    <x v="7"/>
    <x v="9"/>
    <n v="12000"/>
    <n v="96000"/>
    <n v="70860.59"/>
    <n v="25139.41"/>
    <s v="Brian"/>
  </r>
  <r>
    <n v="1325"/>
    <d v="2025-12-27T00:00:00"/>
    <x v="4"/>
    <x v="0"/>
    <x v="7"/>
    <x v="5"/>
    <n v="2500"/>
    <n v="5000"/>
    <n v="3531.81"/>
    <n v="1468.19"/>
    <s v="Amina"/>
  </r>
  <r>
    <n v="1326"/>
    <d v="2025-09-16T00:00:00"/>
    <x v="0"/>
    <x v="0"/>
    <x v="0"/>
    <x v="0"/>
    <n v="12000"/>
    <n v="12000"/>
    <n v="8900.1299999999992"/>
    <n v="3099.87"/>
    <s v="Lilian"/>
  </r>
  <r>
    <n v="1327"/>
    <d v="2025-08-15T00:00:00"/>
    <x v="1"/>
    <x v="0"/>
    <x v="0"/>
    <x v="7"/>
    <n v="500"/>
    <n v="1500"/>
    <n v="1273.6099999999999"/>
    <n v="226.39"/>
    <s v="Peter"/>
  </r>
  <r>
    <n v="1328"/>
    <d v="2025-09-19T00:00:00"/>
    <x v="3"/>
    <x v="1"/>
    <x v="1"/>
    <x v="2"/>
    <n v="1200"/>
    <n v="12000"/>
    <n v="6981.95"/>
    <n v="5018.05"/>
    <s v="Amina"/>
  </r>
  <r>
    <n v="1329"/>
    <d v="2025-01-30T00:00:00"/>
    <x v="2"/>
    <x v="2"/>
    <x v="5"/>
    <x v="1"/>
    <n v="1200"/>
    <n v="10800"/>
    <n v="7666.7"/>
    <n v="3133.3"/>
    <s v="James"/>
  </r>
  <r>
    <n v="1330"/>
    <d v="2025-01-02T00:00:00"/>
    <x v="0"/>
    <x v="0"/>
    <x v="8"/>
    <x v="0"/>
    <n v="1200"/>
    <n v="1200"/>
    <n v="766.87"/>
    <n v="433.13"/>
    <s v="Lilian"/>
  </r>
  <r>
    <n v="1331"/>
    <d v="2025-10-05T00:00:00"/>
    <x v="1"/>
    <x v="1"/>
    <x v="2"/>
    <x v="6"/>
    <n v="500"/>
    <n v="3500"/>
    <n v="2782.97"/>
    <n v="717.03"/>
    <s v="Amina"/>
  </r>
  <r>
    <n v="1332"/>
    <d v="2025-03-11T00:00:00"/>
    <x v="3"/>
    <x v="2"/>
    <x v="5"/>
    <x v="3"/>
    <n v="1200"/>
    <n v="6000"/>
    <n v="3677.96"/>
    <n v="2322.04"/>
    <s v="Faith"/>
  </r>
  <r>
    <n v="1333"/>
    <d v="2025-12-05T00:00:00"/>
    <x v="2"/>
    <x v="2"/>
    <x v="4"/>
    <x v="6"/>
    <n v="1200"/>
    <n v="8400"/>
    <n v="4855.93"/>
    <n v="3544.07"/>
    <s v="Brian"/>
  </r>
  <r>
    <n v="1334"/>
    <d v="2025-07-21T00:00:00"/>
    <x v="2"/>
    <x v="0"/>
    <x v="8"/>
    <x v="5"/>
    <n v="250"/>
    <n v="500"/>
    <n v="448.75"/>
    <n v="51.25"/>
    <s v="Brian"/>
  </r>
  <r>
    <n v="1335"/>
    <d v="2025-06-02T00:00:00"/>
    <x v="3"/>
    <x v="0"/>
    <x v="0"/>
    <x v="0"/>
    <n v="12000"/>
    <n v="12000"/>
    <n v="6695.49"/>
    <n v="5304.51"/>
    <s v="Peter"/>
  </r>
  <r>
    <n v="1336"/>
    <d v="2025-04-28T00:00:00"/>
    <x v="0"/>
    <x v="0"/>
    <x v="7"/>
    <x v="6"/>
    <n v="2500"/>
    <n v="17500"/>
    <n v="11948.07"/>
    <n v="5551.93"/>
    <s v="James"/>
  </r>
  <r>
    <n v="1337"/>
    <d v="2025-02-27T00:00:00"/>
    <x v="1"/>
    <x v="2"/>
    <x v="5"/>
    <x v="3"/>
    <n v="250"/>
    <n v="1250"/>
    <n v="1097.6199999999999"/>
    <n v="152.38"/>
    <s v="Peter"/>
  </r>
  <r>
    <n v="1338"/>
    <d v="2025-02-21T00:00:00"/>
    <x v="2"/>
    <x v="2"/>
    <x v="6"/>
    <x v="0"/>
    <n v="250"/>
    <n v="250"/>
    <n v="155.53"/>
    <n v="94.47"/>
    <s v="Amina"/>
  </r>
  <r>
    <n v="1339"/>
    <d v="2025-07-25T00:00:00"/>
    <x v="3"/>
    <x v="2"/>
    <x v="6"/>
    <x v="0"/>
    <n v="250"/>
    <n v="250"/>
    <n v="202.3"/>
    <n v="47.7"/>
    <s v="Brian"/>
  </r>
  <r>
    <n v="1340"/>
    <d v="2025-05-29T00:00:00"/>
    <x v="0"/>
    <x v="0"/>
    <x v="0"/>
    <x v="0"/>
    <n v="250"/>
    <n v="250"/>
    <n v="181.59"/>
    <n v="68.41"/>
    <s v="Peter"/>
  </r>
  <r>
    <n v="1341"/>
    <d v="2025-06-14T00:00:00"/>
    <x v="0"/>
    <x v="0"/>
    <x v="8"/>
    <x v="2"/>
    <n v="2500"/>
    <n v="25000"/>
    <n v="20509.71"/>
    <n v="4490.29"/>
    <s v="Faith"/>
  </r>
  <r>
    <n v="1342"/>
    <d v="2025-05-21T00:00:00"/>
    <x v="1"/>
    <x v="1"/>
    <x v="1"/>
    <x v="1"/>
    <n v="250"/>
    <n v="2250"/>
    <n v="1563.18"/>
    <n v="686.82"/>
    <s v="Lilian"/>
  </r>
  <r>
    <n v="1343"/>
    <d v="2025-10-12T00:00:00"/>
    <x v="3"/>
    <x v="0"/>
    <x v="7"/>
    <x v="7"/>
    <n v="5000"/>
    <n v="15000"/>
    <n v="11813.44"/>
    <n v="3186.56"/>
    <s v="Amina"/>
  </r>
  <r>
    <n v="1344"/>
    <d v="2025-12-23T00:00:00"/>
    <x v="3"/>
    <x v="2"/>
    <x v="6"/>
    <x v="6"/>
    <n v="12000"/>
    <n v="84000"/>
    <n v="61619.21"/>
    <n v="22380.79"/>
    <s v="James"/>
  </r>
  <r>
    <n v="1345"/>
    <d v="2025-08-31T00:00:00"/>
    <x v="0"/>
    <x v="1"/>
    <x v="3"/>
    <x v="6"/>
    <n v="250"/>
    <n v="1750"/>
    <n v="1424.58"/>
    <n v="325.42"/>
    <s v="Brian"/>
  </r>
  <r>
    <n v="1346"/>
    <d v="2025-01-30T00:00:00"/>
    <x v="2"/>
    <x v="2"/>
    <x v="6"/>
    <x v="7"/>
    <n v="12000"/>
    <n v="36000"/>
    <n v="25634.12"/>
    <n v="10365.879999999999"/>
    <s v="James"/>
  </r>
  <r>
    <n v="1347"/>
    <d v="2025-05-11T00:00:00"/>
    <x v="0"/>
    <x v="2"/>
    <x v="6"/>
    <x v="1"/>
    <n v="250"/>
    <n v="2250"/>
    <n v="1543.38"/>
    <n v="706.62"/>
    <s v="Faith"/>
  </r>
  <r>
    <n v="1348"/>
    <d v="2025-10-02T00:00:00"/>
    <x v="0"/>
    <x v="0"/>
    <x v="0"/>
    <x v="9"/>
    <n v="12000"/>
    <n v="96000"/>
    <n v="65268.2"/>
    <n v="30731.8"/>
    <s v="Amina"/>
  </r>
  <r>
    <n v="1349"/>
    <d v="2025-02-07T00:00:00"/>
    <x v="0"/>
    <x v="2"/>
    <x v="4"/>
    <x v="2"/>
    <n v="2500"/>
    <n v="25000"/>
    <n v="14096.04"/>
    <n v="10903.96"/>
    <s v="Lilian"/>
  </r>
  <r>
    <n v="1350"/>
    <d v="2025-06-20T00:00:00"/>
    <x v="4"/>
    <x v="0"/>
    <x v="7"/>
    <x v="1"/>
    <n v="250"/>
    <n v="2250"/>
    <n v="1615.02"/>
    <n v="634.98"/>
    <s v="Amina"/>
  </r>
  <r>
    <n v="1351"/>
    <d v="2025-09-03T00:00:00"/>
    <x v="0"/>
    <x v="1"/>
    <x v="2"/>
    <x v="5"/>
    <n v="5000"/>
    <n v="10000"/>
    <n v="8998.5"/>
    <n v="1001.5"/>
    <s v="Peter"/>
  </r>
  <r>
    <n v="1352"/>
    <d v="2025-10-10T00:00:00"/>
    <x v="4"/>
    <x v="0"/>
    <x v="7"/>
    <x v="8"/>
    <n v="1200"/>
    <n v="4800"/>
    <n v="4177.41"/>
    <n v="622.59"/>
    <s v="Faith"/>
  </r>
  <r>
    <n v="1353"/>
    <d v="2025-05-14T00:00:00"/>
    <x v="4"/>
    <x v="2"/>
    <x v="4"/>
    <x v="1"/>
    <n v="5000"/>
    <n v="45000"/>
    <n v="30408.34"/>
    <n v="14591.66"/>
    <s v="Lilian"/>
  </r>
  <r>
    <n v="1354"/>
    <d v="2025-08-29T00:00:00"/>
    <x v="4"/>
    <x v="2"/>
    <x v="4"/>
    <x v="5"/>
    <n v="12000"/>
    <n v="24000"/>
    <n v="21443.08"/>
    <n v="2556.92"/>
    <s v="Brian"/>
  </r>
  <r>
    <n v="1355"/>
    <d v="2025-04-24T00:00:00"/>
    <x v="0"/>
    <x v="2"/>
    <x v="4"/>
    <x v="6"/>
    <n v="150"/>
    <n v="1050"/>
    <n v="784.23"/>
    <n v="265.77"/>
    <s v="Amina"/>
  </r>
  <r>
    <n v="1356"/>
    <d v="2025-06-01T00:00:00"/>
    <x v="0"/>
    <x v="2"/>
    <x v="6"/>
    <x v="2"/>
    <n v="2500"/>
    <n v="25000"/>
    <n v="20050.099999999999"/>
    <n v="4949.8999999999996"/>
    <s v="Brian"/>
  </r>
  <r>
    <n v="1357"/>
    <d v="2025-09-13T00:00:00"/>
    <x v="2"/>
    <x v="2"/>
    <x v="5"/>
    <x v="6"/>
    <n v="2500"/>
    <n v="17500"/>
    <n v="14729.35"/>
    <n v="2770.65"/>
    <s v="Peter"/>
  </r>
  <r>
    <n v="1358"/>
    <d v="2025-11-25T00:00:00"/>
    <x v="3"/>
    <x v="0"/>
    <x v="8"/>
    <x v="3"/>
    <n v="12000"/>
    <n v="60000"/>
    <n v="50253.43"/>
    <n v="9746.57"/>
    <s v="James"/>
  </r>
  <r>
    <n v="1359"/>
    <d v="2025-10-07T00:00:00"/>
    <x v="3"/>
    <x v="1"/>
    <x v="1"/>
    <x v="4"/>
    <n v="250"/>
    <n v="1500"/>
    <n v="898.48"/>
    <n v="601.52"/>
    <s v="Brian"/>
  </r>
  <r>
    <n v="1360"/>
    <d v="2025-02-08T00:00:00"/>
    <x v="1"/>
    <x v="0"/>
    <x v="7"/>
    <x v="0"/>
    <n v="2500"/>
    <n v="2500"/>
    <n v="1404.6"/>
    <n v="1095.4000000000001"/>
    <s v="Amina"/>
  </r>
  <r>
    <n v="1361"/>
    <d v="2025-01-05T00:00:00"/>
    <x v="0"/>
    <x v="2"/>
    <x v="5"/>
    <x v="8"/>
    <n v="150"/>
    <n v="600"/>
    <n v="478.51"/>
    <n v="121.49"/>
    <s v="Lilian"/>
  </r>
  <r>
    <n v="1362"/>
    <d v="2025-11-12T00:00:00"/>
    <x v="3"/>
    <x v="2"/>
    <x v="4"/>
    <x v="0"/>
    <n v="2500"/>
    <n v="2500"/>
    <n v="1933.01"/>
    <n v="566.99"/>
    <s v="Peter"/>
  </r>
  <r>
    <n v="1363"/>
    <d v="2025-01-07T00:00:00"/>
    <x v="1"/>
    <x v="2"/>
    <x v="5"/>
    <x v="0"/>
    <n v="2500"/>
    <n v="2500"/>
    <n v="1857.69"/>
    <n v="642.30999999999995"/>
    <s v="Lilian"/>
  </r>
  <r>
    <n v="1364"/>
    <d v="2025-12-24T00:00:00"/>
    <x v="3"/>
    <x v="0"/>
    <x v="8"/>
    <x v="1"/>
    <n v="500"/>
    <n v="4500"/>
    <n v="2502"/>
    <n v="1998"/>
    <s v="Brian"/>
  </r>
  <r>
    <n v="1365"/>
    <d v="2025-11-14T00:00:00"/>
    <x v="2"/>
    <x v="1"/>
    <x v="2"/>
    <x v="1"/>
    <n v="250"/>
    <n v="2250"/>
    <n v="1427.26"/>
    <n v="822.74"/>
    <s v="Faith"/>
  </r>
  <r>
    <n v="1366"/>
    <d v="2025-07-27T00:00:00"/>
    <x v="3"/>
    <x v="2"/>
    <x v="4"/>
    <x v="6"/>
    <n v="150"/>
    <n v="1050"/>
    <n v="714.6"/>
    <n v="335.4"/>
    <s v="Lilian"/>
  </r>
  <r>
    <n v="1367"/>
    <d v="2025-02-11T00:00:00"/>
    <x v="1"/>
    <x v="1"/>
    <x v="1"/>
    <x v="8"/>
    <n v="500"/>
    <n v="2000"/>
    <n v="1578.83"/>
    <n v="421.17"/>
    <s v="Amina"/>
  </r>
  <r>
    <n v="1368"/>
    <d v="2025-11-23T00:00:00"/>
    <x v="1"/>
    <x v="2"/>
    <x v="4"/>
    <x v="6"/>
    <n v="2500"/>
    <n v="17500"/>
    <n v="12540.53"/>
    <n v="4959.47"/>
    <s v="Peter"/>
  </r>
  <r>
    <n v="1369"/>
    <d v="2025-06-19T00:00:00"/>
    <x v="2"/>
    <x v="1"/>
    <x v="2"/>
    <x v="9"/>
    <n v="12000"/>
    <n v="96000"/>
    <n v="67379.360000000001"/>
    <n v="28620.639999999999"/>
    <s v="Amina"/>
  </r>
  <r>
    <n v="1370"/>
    <d v="2025-12-21T00:00:00"/>
    <x v="2"/>
    <x v="0"/>
    <x v="0"/>
    <x v="8"/>
    <n v="250"/>
    <n v="1000"/>
    <n v="865.45"/>
    <n v="134.55000000000001"/>
    <s v="James"/>
  </r>
  <r>
    <n v="1371"/>
    <d v="2025-10-06T00:00:00"/>
    <x v="2"/>
    <x v="2"/>
    <x v="5"/>
    <x v="5"/>
    <n v="5000"/>
    <n v="10000"/>
    <n v="8739.5499999999993"/>
    <n v="1260.45"/>
    <s v="Peter"/>
  </r>
  <r>
    <n v="1372"/>
    <d v="2025-10-28T00:00:00"/>
    <x v="0"/>
    <x v="1"/>
    <x v="2"/>
    <x v="4"/>
    <n v="150"/>
    <n v="900"/>
    <n v="797.86"/>
    <n v="102.14"/>
    <s v="Peter"/>
  </r>
  <r>
    <n v="1373"/>
    <d v="2025-10-18T00:00:00"/>
    <x v="3"/>
    <x v="2"/>
    <x v="5"/>
    <x v="3"/>
    <n v="250"/>
    <n v="1250"/>
    <n v="934.23"/>
    <n v="315.77"/>
    <s v="Peter"/>
  </r>
  <r>
    <n v="1374"/>
    <d v="2025-12-19T00:00:00"/>
    <x v="1"/>
    <x v="0"/>
    <x v="8"/>
    <x v="6"/>
    <n v="12000"/>
    <n v="84000"/>
    <n v="67948.509999999995"/>
    <n v="16051.49"/>
    <s v="Lilian"/>
  </r>
  <r>
    <n v="1375"/>
    <d v="2025-02-08T00:00:00"/>
    <x v="4"/>
    <x v="0"/>
    <x v="8"/>
    <x v="0"/>
    <n v="150"/>
    <n v="150"/>
    <n v="105.45"/>
    <n v="44.55"/>
    <s v="Lilian"/>
  </r>
  <r>
    <n v="1376"/>
    <d v="2025-11-21T00:00:00"/>
    <x v="4"/>
    <x v="0"/>
    <x v="7"/>
    <x v="6"/>
    <n v="12000"/>
    <n v="84000"/>
    <n v="55795.47"/>
    <n v="28204.53"/>
    <s v="James"/>
  </r>
  <r>
    <n v="1377"/>
    <d v="2025-08-10T00:00:00"/>
    <x v="0"/>
    <x v="2"/>
    <x v="5"/>
    <x v="4"/>
    <n v="2500"/>
    <n v="15000"/>
    <n v="13191"/>
    <n v="1809"/>
    <s v="Peter"/>
  </r>
  <r>
    <n v="1378"/>
    <d v="2025-06-01T00:00:00"/>
    <x v="0"/>
    <x v="0"/>
    <x v="7"/>
    <x v="6"/>
    <n v="150"/>
    <n v="1050"/>
    <n v="861.27"/>
    <n v="188.73"/>
    <s v="Peter"/>
  </r>
  <r>
    <n v="1379"/>
    <d v="2025-11-21T00:00:00"/>
    <x v="0"/>
    <x v="1"/>
    <x v="2"/>
    <x v="3"/>
    <n v="250"/>
    <n v="1250"/>
    <n v="853.75"/>
    <n v="396.25"/>
    <s v="Peter"/>
  </r>
  <r>
    <n v="1380"/>
    <d v="2025-06-07T00:00:00"/>
    <x v="3"/>
    <x v="2"/>
    <x v="4"/>
    <x v="4"/>
    <n v="150"/>
    <n v="900"/>
    <n v="523.83000000000004"/>
    <n v="376.17"/>
    <s v="Faith"/>
  </r>
  <r>
    <n v="1381"/>
    <d v="2025-08-18T00:00:00"/>
    <x v="2"/>
    <x v="2"/>
    <x v="5"/>
    <x v="7"/>
    <n v="150"/>
    <n v="450"/>
    <n v="277.01"/>
    <n v="172.99"/>
    <s v="Lilian"/>
  </r>
  <r>
    <n v="1382"/>
    <d v="2025-10-11T00:00:00"/>
    <x v="1"/>
    <x v="0"/>
    <x v="8"/>
    <x v="5"/>
    <n v="150"/>
    <n v="300"/>
    <n v="174.41"/>
    <n v="125.59"/>
    <s v="Lilian"/>
  </r>
  <r>
    <n v="1383"/>
    <d v="2025-07-18T00:00:00"/>
    <x v="1"/>
    <x v="0"/>
    <x v="8"/>
    <x v="6"/>
    <n v="150"/>
    <n v="1050"/>
    <n v="684.75"/>
    <n v="365.25"/>
    <s v="Peter"/>
  </r>
  <r>
    <n v="1384"/>
    <d v="2025-07-14T00:00:00"/>
    <x v="0"/>
    <x v="0"/>
    <x v="0"/>
    <x v="2"/>
    <n v="2500"/>
    <n v="25000"/>
    <n v="15233.85"/>
    <n v="9766.15"/>
    <s v="Brian"/>
  </r>
  <r>
    <n v="1385"/>
    <d v="2025-03-27T00:00:00"/>
    <x v="3"/>
    <x v="2"/>
    <x v="4"/>
    <x v="3"/>
    <n v="1200"/>
    <n v="6000"/>
    <n v="3606.46"/>
    <n v="2393.54"/>
    <s v="Faith"/>
  </r>
  <r>
    <n v="1386"/>
    <d v="2025-05-09T00:00:00"/>
    <x v="0"/>
    <x v="2"/>
    <x v="4"/>
    <x v="9"/>
    <n v="12000"/>
    <n v="96000"/>
    <n v="55384.56"/>
    <n v="40615.440000000002"/>
    <s v="Peter"/>
  </r>
  <r>
    <n v="1387"/>
    <d v="2025-02-24T00:00:00"/>
    <x v="0"/>
    <x v="0"/>
    <x v="8"/>
    <x v="2"/>
    <n v="2500"/>
    <n v="25000"/>
    <n v="15461.05"/>
    <n v="9538.9500000000007"/>
    <s v="Faith"/>
  </r>
  <r>
    <n v="1388"/>
    <d v="2025-06-18T00:00:00"/>
    <x v="3"/>
    <x v="1"/>
    <x v="3"/>
    <x v="4"/>
    <n v="12000"/>
    <n v="72000"/>
    <n v="55228.84"/>
    <n v="16771.16"/>
    <s v="Faith"/>
  </r>
  <r>
    <n v="1389"/>
    <d v="2025-11-05T00:00:00"/>
    <x v="0"/>
    <x v="2"/>
    <x v="6"/>
    <x v="2"/>
    <n v="250"/>
    <n v="2500"/>
    <n v="1637.88"/>
    <n v="862.12"/>
    <s v="James"/>
  </r>
  <r>
    <n v="1390"/>
    <d v="2025-12-22T00:00:00"/>
    <x v="3"/>
    <x v="2"/>
    <x v="5"/>
    <x v="6"/>
    <n v="500"/>
    <n v="3500"/>
    <n v="2282.02"/>
    <n v="1217.98"/>
    <s v="Lilian"/>
  </r>
  <r>
    <n v="1391"/>
    <d v="2025-07-21T00:00:00"/>
    <x v="4"/>
    <x v="1"/>
    <x v="3"/>
    <x v="6"/>
    <n v="500"/>
    <n v="3500"/>
    <n v="2925.21"/>
    <n v="574.79"/>
    <s v="Amina"/>
  </r>
  <r>
    <n v="1392"/>
    <d v="2025-10-09T00:00:00"/>
    <x v="1"/>
    <x v="0"/>
    <x v="0"/>
    <x v="2"/>
    <n v="2500"/>
    <n v="25000"/>
    <n v="15324.36"/>
    <n v="9675.64"/>
    <s v="Peter"/>
  </r>
  <r>
    <n v="1393"/>
    <d v="2025-12-21T00:00:00"/>
    <x v="1"/>
    <x v="2"/>
    <x v="6"/>
    <x v="8"/>
    <n v="1200"/>
    <n v="4800"/>
    <n v="3980.11"/>
    <n v="819.89"/>
    <s v="James"/>
  </r>
  <r>
    <n v="1394"/>
    <d v="2025-05-10T00:00:00"/>
    <x v="0"/>
    <x v="0"/>
    <x v="8"/>
    <x v="7"/>
    <n v="5000"/>
    <n v="15000"/>
    <n v="9839.8700000000008"/>
    <n v="5160.13"/>
    <s v="Peter"/>
  </r>
  <r>
    <n v="1395"/>
    <d v="2025-09-03T00:00:00"/>
    <x v="2"/>
    <x v="2"/>
    <x v="4"/>
    <x v="5"/>
    <n v="1200"/>
    <n v="2400"/>
    <n v="2152.19"/>
    <n v="247.81"/>
    <s v="James"/>
  </r>
  <r>
    <n v="1396"/>
    <d v="2025-07-04T00:00:00"/>
    <x v="2"/>
    <x v="0"/>
    <x v="7"/>
    <x v="6"/>
    <n v="2500"/>
    <n v="17500"/>
    <n v="9850.19"/>
    <n v="7649.81"/>
    <s v="Lilian"/>
  </r>
  <r>
    <n v="1397"/>
    <d v="2025-12-07T00:00:00"/>
    <x v="4"/>
    <x v="0"/>
    <x v="0"/>
    <x v="5"/>
    <n v="12000"/>
    <n v="24000"/>
    <n v="15285.14"/>
    <n v="8714.86"/>
    <s v="Brian"/>
  </r>
  <r>
    <n v="1398"/>
    <d v="2025-12-13T00:00:00"/>
    <x v="3"/>
    <x v="0"/>
    <x v="7"/>
    <x v="0"/>
    <n v="2500"/>
    <n v="2500"/>
    <n v="2235.66"/>
    <n v="264.33999999999997"/>
    <s v="Faith"/>
  </r>
  <r>
    <n v="1399"/>
    <d v="2025-09-19T00:00:00"/>
    <x v="2"/>
    <x v="2"/>
    <x v="5"/>
    <x v="0"/>
    <n v="150"/>
    <n v="150"/>
    <n v="96.08"/>
    <n v="53.92"/>
    <s v="Lilian"/>
  </r>
  <r>
    <n v="1400"/>
    <d v="2025-07-20T00:00:00"/>
    <x v="3"/>
    <x v="0"/>
    <x v="7"/>
    <x v="2"/>
    <n v="250"/>
    <n v="2500"/>
    <n v="1765.06"/>
    <n v="734.94"/>
    <s v="Peter"/>
  </r>
  <r>
    <n v="1401"/>
    <d v="2025-01-13T00:00:00"/>
    <x v="3"/>
    <x v="0"/>
    <x v="7"/>
    <x v="1"/>
    <n v="250"/>
    <n v="2250"/>
    <n v="1509.16"/>
    <n v="740.84"/>
    <s v="Amina"/>
  </r>
  <r>
    <n v="1402"/>
    <d v="2025-03-14T00:00:00"/>
    <x v="4"/>
    <x v="2"/>
    <x v="4"/>
    <x v="5"/>
    <n v="150"/>
    <n v="300"/>
    <n v="252.29"/>
    <n v="47.71"/>
    <s v="Faith"/>
  </r>
  <r>
    <n v="1403"/>
    <d v="2025-09-01T00:00:00"/>
    <x v="1"/>
    <x v="2"/>
    <x v="4"/>
    <x v="8"/>
    <n v="2500"/>
    <n v="10000"/>
    <n v="7190.24"/>
    <n v="2809.76"/>
    <s v="James"/>
  </r>
  <r>
    <n v="1404"/>
    <d v="2025-01-23T00:00:00"/>
    <x v="1"/>
    <x v="0"/>
    <x v="7"/>
    <x v="9"/>
    <n v="500"/>
    <n v="4000"/>
    <n v="2294.04"/>
    <n v="1705.96"/>
    <s v="Amina"/>
  </r>
  <r>
    <n v="1405"/>
    <d v="2025-05-05T00:00:00"/>
    <x v="2"/>
    <x v="2"/>
    <x v="6"/>
    <x v="5"/>
    <n v="5000"/>
    <n v="10000"/>
    <n v="8300.18"/>
    <n v="1699.82"/>
    <s v="Brian"/>
  </r>
  <r>
    <n v="1406"/>
    <d v="2025-08-25T00:00:00"/>
    <x v="0"/>
    <x v="0"/>
    <x v="0"/>
    <x v="4"/>
    <n v="2500"/>
    <n v="15000"/>
    <n v="10488.44"/>
    <n v="4511.5600000000004"/>
    <s v="James"/>
  </r>
  <r>
    <n v="1407"/>
    <d v="2025-07-22T00:00:00"/>
    <x v="1"/>
    <x v="0"/>
    <x v="0"/>
    <x v="7"/>
    <n v="5000"/>
    <n v="15000"/>
    <n v="11700.87"/>
    <n v="3299.13"/>
    <s v="Peter"/>
  </r>
  <r>
    <n v="1408"/>
    <d v="2025-01-03T00:00:00"/>
    <x v="0"/>
    <x v="0"/>
    <x v="0"/>
    <x v="9"/>
    <n v="2500"/>
    <n v="20000"/>
    <n v="14006.87"/>
    <n v="5993.13"/>
    <s v="Brian"/>
  </r>
  <r>
    <n v="1409"/>
    <d v="2025-10-02T00:00:00"/>
    <x v="0"/>
    <x v="2"/>
    <x v="6"/>
    <x v="5"/>
    <n v="2500"/>
    <n v="5000"/>
    <n v="2928.07"/>
    <n v="2071.9299999999998"/>
    <s v="Faith"/>
  </r>
  <r>
    <n v="1410"/>
    <d v="2025-09-08T00:00:00"/>
    <x v="2"/>
    <x v="2"/>
    <x v="5"/>
    <x v="9"/>
    <n v="150"/>
    <n v="1200"/>
    <n v="770.19"/>
    <n v="429.81"/>
    <s v="Peter"/>
  </r>
  <r>
    <n v="1411"/>
    <d v="2025-02-28T00:00:00"/>
    <x v="4"/>
    <x v="2"/>
    <x v="6"/>
    <x v="6"/>
    <n v="2500"/>
    <n v="17500"/>
    <n v="12029.33"/>
    <n v="5470.67"/>
    <s v="Faith"/>
  </r>
  <r>
    <n v="1412"/>
    <d v="2025-06-02T00:00:00"/>
    <x v="2"/>
    <x v="2"/>
    <x v="6"/>
    <x v="7"/>
    <n v="12000"/>
    <n v="36000"/>
    <n v="28287.22"/>
    <n v="7712.78"/>
    <s v="Lilian"/>
  </r>
  <r>
    <n v="1413"/>
    <d v="2025-06-06T00:00:00"/>
    <x v="1"/>
    <x v="1"/>
    <x v="1"/>
    <x v="7"/>
    <n v="500"/>
    <n v="1500"/>
    <n v="886.88"/>
    <n v="613.12"/>
    <s v="Brian"/>
  </r>
  <r>
    <n v="1414"/>
    <d v="2025-11-02T00:00:00"/>
    <x v="0"/>
    <x v="2"/>
    <x v="6"/>
    <x v="7"/>
    <n v="2500"/>
    <n v="7500"/>
    <n v="5144.72"/>
    <n v="2355.2800000000002"/>
    <s v="Lilian"/>
  </r>
  <r>
    <n v="1415"/>
    <d v="2025-12-22T00:00:00"/>
    <x v="0"/>
    <x v="2"/>
    <x v="4"/>
    <x v="7"/>
    <n v="1200"/>
    <n v="3600"/>
    <n v="2780.73"/>
    <n v="819.27"/>
    <s v="Lilian"/>
  </r>
  <r>
    <n v="1416"/>
    <d v="2025-08-19T00:00:00"/>
    <x v="2"/>
    <x v="1"/>
    <x v="3"/>
    <x v="3"/>
    <n v="250"/>
    <n v="1250"/>
    <n v="769.36"/>
    <n v="480.64"/>
    <s v="Amina"/>
  </r>
  <r>
    <n v="1417"/>
    <d v="2025-07-16T00:00:00"/>
    <x v="2"/>
    <x v="2"/>
    <x v="5"/>
    <x v="9"/>
    <n v="250"/>
    <n v="2000"/>
    <n v="1236.5899999999999"/>
    <n v="763.41"/>
    <s v="Lilian"/>
  </r>
  <r>
    <n v="1418"/>
    <d v="2025-12-30T00:00:00"/>
    <x v="3"/>
    <x v="0"/>
    <x v="8"/>
    <x v="6"/>
    <n v="5000"/>
    <n v="35000"/>
    <n v="25273.64"/>
    <n v="9726.36"/>
    <s v="James"/>
  </r>
  <r>
    <n v="1419"/>
    <d v="2025-04-23T00:00:00"/>
    <x v="4"/>
    <x v="1"/>
    <x v="2"/>
    <x v="2"/>
    <n v="150"/>
    <n v="1500"/>
    <n v="1242.8399999999999"/>
    <n v="257.16000000000003"/>
    <s v="Amina"/>
  </r>
  <r>
    <n v="1420"/>
    <d v="2025-08-23T00:00:00"/>
    <x v="2"/>
    <x v="2"/>
    <x v="5"/>
    <x v="1"/>
    <n v="500"/>
    <n v="4500"/>
    <n v="2739.93"/>
    <n v="1760.07"/>
    <s v="Peter"/>
  </r>
  <r>
    <n v="1421"/>
    <d v="2025-05-18T00:00:00"/>
    <x v="2"/>
    <x v="2"/>
    <x v="6"/>
    <x v="1"/>
    <n v="150"/>
    <n v="1350"/>
    <n v="1013.11"/>
    <n v="336.89"/>
    <s v="Faith"/>
  </r>
  <r>
    <n v="1422"/>
    <d v="2025-08-06T00:00:00"/>
    <x v="1"/>
    <x v="0"/>
    <x v="0"/>
    <x v="9"/>
    <n v="2500"/>
    <n v="20000"/>
    <n v="12529.79"/>
    <n v="7470.21"/>
    <s v="Peter"/>
  </r>
  <r>
    <n v="1423"/>
    <d v="2025-08-19T00:00:00"/>
    <x v="4"/>
    <x v="0"/>
    <x v="0"/>
    <x v="3"/>
    <n v="12000"/>
    <n v="60000"/>
    <n v="53985.57"/>
    <n v="6014.43"/>
    <s v="Faith"/>
  </r>
  <r>
    <n v="1424"/>
    <d v="2025-04-18T00:00:00"/>
    <x v="2"/>
    <x v="1"/>
    <x v="3"/>
    <x v="5"/>
    <n v="12000"/>
    <n v="24000"/>
    <n v="20019.87"/>
    <n v="3980.13"/>
    <s v="Peter"/>
  </r>
  <r>
    <n v="1425"/>
    <d v="2025-11-12T00:00:00"/>
    <x v="0"/>
    <x v="2"/>
    <x v="6"/>
    <x v="2"/>
    <n v="5000"/>
    <n v="50000"/>
    <n v="34992.92"/>
    <n v="15007.08"/>
    <s v="Brian"/>
  </r>
  <r>
    <n v="1426"/>
    <d v="2025-11-02T00:00:00"/>
    <x v="2"/>
    <x v="1"/>
    <x v="2"/>
    <x v="2"/>
    <n v="500"/>
    <n v="5000"/>
    <n v="3681.49"/>
    <n v="1318.51"/>
    <s v="Brian"/>
  </r>
  <r>
    <n v="1427"/>
    <d v="2025-09-21T00:00:00"/>
    <x v="1"/>
    <x v="2"/>
    <x v="6"/>
    <x v="3"/>
    <n v="500"/>
    <n v="2500"/>
    <n v="1876.14"/>
    <n v="623.86"/>
    <s v="Brian"/>
  </r>
  <r>
    <n v="1428"/>
    <d v="2025-12-26T00:00:00"/>
    <x v="0"/>
    <x v="2"/>
    <x v="5"/>
    <x v="3"/>
    <n v="12000"/>
    <n v="60000"/>
    <n v="46773.82"/>
    <n v="13226.18"/>
    <s v="Brian"/>
  </r>
  <r>
    <n v="1429"/>
    <d v="2025-12-13T00:00:00"/>
    <x v="3"/>
    <x v="1"/>
    <x v="1"/>
    <x v="4"/>
    <n v="12000"/>
    <n v="72000"/>
    <n v="45838.38"/>
    <n v="26161.62"/>
    <s v="James"/>
  </r>
  <r>
    <n v="1430"/>
    <d v="2025-08-20T00:00:00"/>
    <x v="1"/>
    <x v="1"/>
    <x v="1"/>
    <x v="3"/>
    <n v="5000"/>
    <n v="25000"/>
    <n v="17374.47"/>
    <n v="7625.53"/>
    <s v="Peter"/>
  </r>
  <r>
    <n v="1431"/>
    <d v="2025-07-08T00:00:00"/>
    <x v="3"/>
    <x v="1"/>
    <x v="3"/>
    <x v="1"/>
    <n v="5000"/>
    <n v="45000"/>
    <n v="29132.05"/>
    <n v="15867.95"/>
    <s v="James"/>
  </r>
  <r>
    <n v="1432"/>
    <d v="2025-02-17T00:00:00"/>
    <x v="3"/>
    <x v="2"/>
    <x v="6"/>
    <x v="0"/>
    <n v="12000"/>
    <n v="12000"/>
    <n v="9851.3700000000008"/>
    <n v="2148.63"/>
    <s v="Peter"/>
  </r>
  <r>
    <n v="1433"/>
    <d v="2025-10-01T00:00:00"/>
    <x v="3"/>
    <x v="0"/>
    <x v="7"/>
    <x v="4"/>
    <n v="12000"/>
    <n v="72000"/>
    <n v="41195.93"/>
    <n v="30804.07"/>
    <s v="Brian"/>
  </r>
  <r>
    <n v="1434"/>
    <d v="2025-05-26T00:00:00"/>
    <x v="4"/>
    <x v="2"/>
    <x v="5"/>
    <x v="9"/>
    <n v="500"/>
    <n v="4000"/>
    <n v="2652.01"/>
    <n v="1347.99"/>
    <s v="Lilian"/>
  </r>
  <r>
    <n v="1435"/>
    <d v="2025-06-25T00:00:00"/>
    <x v="1"/>
    <x v="0"/>
    <x v="0"/>
    <x v="2"/>
    <n v="12000"/>
    <n v="120000"/>
    <n v="86384.19"/>
    <n v="33615.81"/>
    <s v="Amina"/>
  </r>
  <r>
    <n v="1436"/>
    <d v="2025-03-22T00:00:00"/>
    <x v="3"/>
    <x v="1"/>
    <x v="1"/>
    <x v="9"/>
    <n v="150"/>
    <n v="1200"/>
    <n v="712.18"/>
    <n v="487.82"/>
    <s v="James"/>
  </r>
  <r>
    <n v="1437"/>
    <d v="2025-11-29T00:00:00"/>
    <x v="4"/>
    <x v="1"/>
    <x v="3"/>
    <x v="8"/>
    <n v="5000"/>
    <n v="20000"/>
    <n v="17365.849999999999"/>
    <n v="2634.15"/>
    <s v="Brian"/>
  </r>
  <r>
    <n v="1438"/>
    <d v="2025-12-07T00:00:00"/>
    <x v="0"/>
    <x v="2"/>
    <x v="5"/>
    <x v="4"/>
    <n v="500"/>
    <n v="3000"/>
    <n v="1736.54"/>
    <n v="1263.46"/>
    <s v="Amina"/>
  </r>
  <r>
    <n v="1439"/>
    <d v="2025-04-30T00:00:00"/>
    <x v="3"/>
    <x v="2"/>
    <x v="6"/>
    <x v="3"/>
    <n v="5000"/>
    <n v="25000"/>
    <n v="19870.11"/>
    <n v="5129.8900000000003"/>
    <s v="Peter"/>
  </r>
  <r>
    <n v="1440"/>
    <d v="2025-02-09T00:00:00"/>
    <x v="0"/>
    <x v="1"/>
    <x v="1"/>
    <x v="5"/>
    <n v="150"/>
    <n v="300"/>
    <n v="187.41"/>
    <n v="112.59"/>
    <s v="Lilian"/>
  </r>
  <r>
    <n v="1441"/>
    <d v="2025-06-25T00:00:00"/>
    <x v="1"/>
    <x v="1"/>
    <x v="1"/>
    <x v="9"/>
    <n v="150"/>
    <n v="1200"/>
    <n v="663.39"/>
    <n v="536.61"/>
    <s v="James"/>
  </r>
  <r>
    <n v="1442"/>
    <d v="2025-02-15T00:00:00"/>
    <x v="1"/>
    <x v="0"/>
    <x v="0"/>
    <x v="9"/>
    <n v="150"/>
    <n v="1200"/>
    <n v="756.16"/>
    <n v="443.84"/>
    <s v="Amina"/>
  </r>
  <r>
    <n v="1443"/>
    <d v="2025-03-10T00:00:00"/>
    <x v="0"/>
    <x v="2"/>
    <x v="4"/>
    <x v="3"/>
    <n v="250"/>
    <n v="1250"/>
    <n v="854.94"/>
    <n v="395.06"/>
    <s v="Amina"/>
  </r>
  <r>
    <n v="1444"/>
    <d v="2025-08-14T00:00:00"/>
    <x v="4"/>
    <x v="0"/>
    <x v="7"/>
    <x v="0"/>
    <n v="2500"/>
    <n v="2500"/>
    <n v="1943.77"/>
    <n v="556.23"/>
    <s v="Peter"/>
  </r>
  <r>
    <n v="1445"/>
    <d v="2025-08-15T00:00:00"/>
    <x v="0"/>
    <x v="1"/>
    <x v="1"/>
    <x v="7"/>
    <n v="1200"/>
    <n v="3600"/>
    <n v="2756.26"/>
    <n v="843.74"/>
    <s v="Amina"/>
  </r>
  <r>
    <n v="1446"/>
    <d v="2025-06-29T00:00:00"/>
    <x v="3"/>
    <x v="1"/>
    <x v="2"/>
    <x v="5"/>
    <n v="2500"/>
    <n v="5000"/>
    <n v="4027.52"/>
    <n v="972.48"/>
    <s v="Faith"/>
  </r>
  <r>
    <n v="1447"/>
    <d v="2025-10-11T00:00:00"/>
    <x v="2"/>
    <x v="1"/>
    <x v="2"/>
    <x v="3"/>
    <n v="5000"/>
    <n v="25000"/>
    <n v="14487.18"/>
    <n v="10512.82"/>
    <s v="Lilian"/>
  </r>
  <r>
    <n v="1448"/>
    <d v="2025-01-14T00:00:00"/>
    <x v="4"/>
    <x v="0"/>
    <x v="7"/>
    <x v="3"/>
    <n v="12000"/>
    <n v="60000"/>
    <n v="52766.86"/>
    <n v="7233.14"/>
    <s v="Brian"/>
  </r>
  <r>
    <n v="1449"/>
    <d v="2025-06-01T00:00:00"/>
    <x v="1"/>
    <x v="0"/>
    <x v="7"/>
    <x v="1"/>
    <n v="250"/>
    <n v="2250"/>
    <n v="1826.43"/>
    <n v="423.57"/>
    <s v="Brian"/>
  </r>
  <r>
    <n v="1450"/>
    <d v="2025-11-01T00:00:00"/>
    <x v="1"/>
    <x v="2"/>
    <x v="4"/>
    <x v="5"/>
    <n v="250"/>
    <n v="500"/>
    <n v="362.43"/>
    <n v="137.57"/>
    <s v="Lilian"/>
  </r>
  <r>
    <n v="1451"/>
    <d v="2025-10-19T00:00:00"/>
    <x v="3"/>
    <x v="1"/>
    <x v="3"/>
    <x v="4"/>
    <n v="250"/>
    <n v="1500"/>
    <n v="1028.0899999999999"/>
    <n v="471.91"/>
    <s v="Faith"/>
  </r>
  <r>
    <n v="1452"/>
    <d v="2025-02-07T00:00:00"/>
    <x v="1"/>
    <x v="0"/>
    <x v="7"/>
    <x v="7"/>
    <n v="12000"/>
    <n v="36000"/>
    <n v="25734.78"/>
    <n v="10265.219999999999"/>
    <s v="Lilian"/>
  </r>
  <r>
    <n v="1453"/>
    <d v="2025-01-31T00:00:00"/>
    <x v="3"/>
    <x v="1"/>
    <x v="2"/>
    <x v="3"/>
    <n v="250"/>
    <n v="1250"/>
    <n v="704.92"/>
    <n v="545.08000000000004"/>
    <s v="Lilian"/>
  </r>
  <r>
    <n v="1454"/>
    <d v="2025-12-26T00:00:00"/>
    <x v="3"/>
    <x v="2"/>
    <x v="6"/>
    <x v="1"/>
    <n v="12000"/>
    <n v="108000"/>
    <n v="75103.33"/>
    <n v="32896.67"/>
    <s v="Amina"/>
  </r>
  <r>
    <n v="1455"/>
    <d v="2025-02-12T00:00:00"/>
    <x v="4"/>
    <x v="0"/>
    <x v="7"/>
    <x v="1"/>
    <n v="2500"/>
    <n v="22500"/>
    <n v="13577.36"/>
    <n v="8922.64"/>
    <s v="Amina"/>
  </r>
  <r>
    <n v="1456"/>
    <d v="2025-10-28T00:00:00"/>
    <x v="1"/>
    <x v="0"/>
    <x v="0"/>
    <x v="7"/>
    <n v="2500"/>
    <n v="7500"/>
    <n v="4982.72"/>
    <n v="2517.2800000000002"/>
    <s v="Faith"/>
  </r>
  <r>
    <n v="1457"/>
    <d v="2025-08-11T00:00:00"/>
    <x v="1"/>
    <x v="0"/>
    <x v="8"/>
    <x v="8"/>
    <n v="150"/>
    <n v="600"/>
    <n v="381.34"/>
    <n v="218.66"/>
    <s v="James"/>
  </r>
  <r>
    <n v="1458"/>
    <d v="2025-12-03T00:00:00"/>
    <x v="0"/>
    <x v="0"/>
    <x v="7"/>
    <x v="0"/>
    <n v="500"/>
    <n v="500"/>
    <n v="391.56"/>
    <n v="108.44"/>
    <s v="Amina"/>
  </r>
  <r>
    <n v="1459"/>
    <d v="2025-09-12T00:00:00"/>
    <x v="4"/>
    <x v="1"/>
    <x v="1"/>
    <x v="7"/>
    <n v="5000"/>
    <n v="15000"/>
    <n v="8309.59"/>
    <n v="6690.41"/>
    <s v="Lilian"/>
  </r>
  <r>
    <n v="1460"/>
    <d v="2025-05-18T00:00:00"/>
    <x v="1"/>
    <x v="0"/>
    <x v="7"/>
    <x v="3"/>
    <n v="250"/>
    <n v="1250"/>
    <n v="850.19"/>
    <n v="399.81"/>
    <s v="Amina"/>
  </r>
  <r>
    <n v="1461"/>
    <d v="2025-12-31T00:00:00"/>
    <x v="2"/>
    <x v="2"/>
    <x v="4"/>
    <x v="3"/>
    <n v="2500"/>
    <n v="12500"/>
    <n v="7154.44"/>
    <n v="5345.56"/>
    <s v="Peter"/>
  </r>
  <r>
    <n v="1462"/>
    <d v="2025-09-13T00:00:00"/>
    <x v="2"/>
    <x v="1"/>
    <x v="3"/>
    <x v="9"/>
    <n v="2500"/>
    <n v="20000"/>
    <n v="13520.87"/>
    <n v="6479.13"/>
    <s v="Brian"/>
  </r>
  <r>
    <n v="1463"/>
    <d v="2025-10-21T00:00:00"/>
    <x v="1"/>
    <x v="2"/>
    <x v="5"/>
    <x v="3"/>
    <n v="12000"/>
    <n v="60000"/>
    <n v="35161"/>
    <n v="24839"/>
    <s v="Brian"/>
  </r>
  <r>
    <n v="1464"/>
    <d v="2025-01-07T00:00:00"/>
    <x v="0"/>
    <x v="0"/>
    <x v="7"/>
    <x v="0"/>
    <n v="150"/>
    <n v="150"/>
    <n v="127.58"/>
    <n v="22.42"/>
    <s v="Amina"/>
  </r>
  <r>
    <n v="1465"/>
    <d v="2025-01-19T00:00:00"/>
    <x v="2"/>
    <x v="2"/>
    <x v="4"/>
    <x v="6"/>
    <n v="250"/>
    <n v="1750"/>
    <n v="1072.1099999999999"/>
    <n v="677.89"/>
    <s v="Peter"/>
  </r>
  <r>
    <n v="1466"/>
    <d v="2025-08-02T00:00:00"/>
    <x v="4"/>
    <x v="0"/>
    <x v="7"/>
    <x v="6"/>
    <n v="250"/>
    <n v="1750"/>
    <n v="1159.5999999999999"/>
    <n v="590.4"/>
    <s v="Faith"/>
  </r>
  <r>
    <n v="1467"/>
    <d v="2025-01-27T00:00:00"/>
    <x v="0"/>
    <x v="1"/>
    <x v="1"/>
    <x v="4"/>
    <n v="150"/>
    <n v="900"/>
    <n v="653.14"/>
    <n v="246.86"/>
    <s v="Brian"/>
  </r>
  <r>
    <n v="1468"/>
    <d v="2025-05-25T00:00:00"/>
    <x v="4"/>
    <x v="0"/>
    <x v="0"/>
    <x v="6"/>
    <n v="150"/>
    <n v="1050"/>
    <n v="899.79"/>
    <n v="150.21"/>
    <s v="Faith"/>
  </r>
  <r>
    <n v="1469"/>
    <d v="2025-05-30T00:00:00"/>
    <x v="2"/>
    <x v="1"/>
    <x v="1"/>
    <x v="9"/>
    <n v="150"/>
    <n v="1200"/>
    <n v="814.95"/>
    <n v="385.05"/>
    <s v="Faith"/>
  </r>
  <r>
    <n v="1470"/>
    <d v="2025-09-10T00:00:00"/>
    <x v="0"/>
    <x v="0"/>
    <x v="7"/>
    <x v="8"/>
    <n v="1200"/>
    <n v="4800"/>
    <n v="3258.7"/>
    <n v="1541.3"/>
    <s v="Peter"/>
  </r>
  <r>
    <n v="1471"/>
    <d v="2025-01-13T00:00:00"/>
    <x v="0"/>
    <x v="0"/>
    <x v="0"/>
    <x v="7"/>
    <n v="150"/>
    <n v="450"/>
    <n v="394.35"/>
    <n v="55.65"/>
    <s v="Lilian"/>
  </r>
  <r>
    <n v="1472"/>
    <d v="2025-12-03T00:00:00"/>
    <x v="3"/>
    <x v="2"/>
    <x v="6"/>
    <x v="0"/>
    <n v="500"/>
    <n v="500"/>
    <n v="275.26"/>
    <n v="224.74"/>
    <s v="Peter"/>
  </r>
  <r>
    <n v="1473"/>
    <d v="2025-05-02T00:00:00"/>
    <x v="3"/>
    <x v="0"/>
    <x v="8"/>
    <x v="5"/>
    <n v="250"/>
    <n v="500"/>
    <n v="367.72"/>
    <n v="132.28"/>
    <s v="James"/>
  </r>
  <r>
    <n v="1474"/>
    <d v="2025-04-29T00:00:00"/>
    <x v="2"/>
    <x v="1"/>
    <x v="2"/>
    <x v="3"/>
    <n v="150"/>
    <n v="750"/>
    <n v="424.02"/>
    <n v="325.98"/>
    <s v="James"/>
  </r>
  <r>
    <n v="1475"/>
    <d v="2025-02-18T00:00:00"/>
    <x v="2"/>
    <x v="0"/>
    <x v="8"/>
    <x v="9"/>
    <n v="5000"/>
    <n v="40000"/>
    <n v="23188.63"/>
    <n v="16811.37"/>
    <s v="Brian"/>
  </r>
  <r>
    <n v="1476"/>
    <d v="2025-08-11T00:00:00"/>
    <x v="0"/>
    <x v="0"/>
    <x v="8"/>
    <x v="5"/>
    <n v="2500"/>
    <n v="5000"/>
    <n v="3743.69"/>
    <n v="1256.31"/>
    <s v="Brian"/>
  </r>
  <r>
    <n v="1477"/>
    <d v="2025-06-17T00:00:00"/>
    <x v="4"/>
    <x v="2"/>
    <x v="4"/>
    <x v="4"/>
    <n v="12000"/>
    <n v="72000"/>
    <n v="49502.41"/>
    <n v="22497.59"/>
    <s v="James"/>
  </r>
  <r>
    <n v="1478"/>
    <d v="2025-10-27T00:00:00"/>
    <x v="1"/>
    <x v="2"/>
    <x v="5"/>
    <x v="5"/>
    <n v="250"/>
    <n v="500"/>
    <n v="298.82"/>
    <n v="201.18"/>
    <s v="Brian"/>
  </r>
  <r>
    <n v="1479"/>
    <d v="2025-03-03T00:00:00"/>
    <x v="2"/>
    <x v="1"/>
    <x v="2"/>
    <x v="9"/>
    <n v="1200"/>
    <n v="9600"/>
    <n v="6335.15"/>
    <n v="3264.85"/>
    <s v="Faith"/>
  </r>
  <r>
    <n v="1480"/>
    <d v="2025-03-03T00:00:00"/>
    <x v="1"/>
    <x v="1"/>
    <x v="3"/>
    <x v="3"/>
    <n v="1200"/>
    <n v="6000"/>
    <n v="3856.52"/>
    <n v="2143.48"/>
    <s v="Brian"/>
  </r>
  <r>
    <n v="1481"/>
    <d v="2025-06-17T00:00:00"/>
    <x v="0"/>
    <x v="0"/>
    <x v="8"/>
    <x v="2"/>
    <n v="150"/>
    <n v="1500"/>
    <n v="937.89"/>
    <n v="562.11"/>
    <s v="Amina"/>
  </r>
  <r>
    <n v="1482"/>
    <d v="2025-12-13T00:00:00"/>
    <x v="4"/>
    <x v="0"/>
    <x v="0"/>
    <x v="4"/>
    <n v="1200"/>
    <n v="7200"/>
    <n v="5253.92"/>
    <n v="1946.08"/>
    <s v="Faith"/>
  </r>
  <r>
    <n v="1483"/>
    <d v="2025-10-09T00:00:00"/>
    <x v="0"/>
    <x v="1"/>
    <x v="2"/>
    <x v="6"/>
    <n v="12000"/>
    <n v="84000"/>
    <n v="59494.71"/>
    <n v="24505.29"/>
    <s v="Amina"/>
  </r>
  <r>
    <n v="1484"/>
    <d v="2025-04-24T00:00:00"/>
    <x v="0"/>
    <x v="2"/>
    <x v="5"/>
    <x v="7"/>
    <n v="150"/>
    <n v="450"/>
    <n v="249.38"/>
    <n v="200.62"/>
    <s v="Brian"/>
  </r>
  <r>
    <n v="1485"/>
    <d v="2025-02-08T00:00:00"/>
    <x v="1"/>
    <x v="2"/>
    <x v="4"/>
    <x v="5"/>
    <n v="2500"/>
    <n v="5000"/>
    <n v="3775.71"/>
    <n v="1224.29"/>
    <s v="Amina"/>
  </r>
  <r>
    <n v="1486"/>
    <d v="2025-06-19T00:00:00"/>
    <x v="1"/>
    <x v="1"/>
    <x v="1"/>
    <x v="9"/>
    <n v="12000"/>
    <n v="96000"/>
    <n v="57127.4"/>
    <n v="38872.6"/>
    <s v="Amina"/>
  </r>
  <r>
    <n v="1487"/>
    <d v="2025-07-22T00:00:00"/>
    <x v="3"/>
    <x v="2"/>
    <x v="5"/>
    <x v="7"/>
    <n v="2500"/>
    <n v="7500"/>
    <n v="5262.04"/>
    <n v="2237.96"/>
    <s v="Amina"/>
  </r>
  <r>
    <n v="1488"/>
    <d v="2025-04-06T00:00:00"/>
    <x v="4"/>
    <x v="2"/>
    <x v="6"/>
    <x v="6"/>
    <n v="250"/>
    <n v="1750"/>
    <n v="1179.29"/>
    <n v="570.71"/>
    <s v="Faith"/>
  </r>
  <r>
    <n v="1489"/>
    <d v="2025-05-06T00:00:00"/>
    <x v="4"/>
    <x v="2"/>
    <x v="5"/>
    <x v="0"/>
    <n v="2500"/>
    <n v="2500"/>
    <n v="1916.78"/>
    <n v="583.22"/>
    <s v="James"/>
  </r>
  <r>
    <n v="1490"/>
    <d v="2025-07-16T00:00:00"/>
    <x v="0"/>
    <x v="2"/>
    <x v="6"/>
    <x v="9"/>
    <n v="150"/>
    <n v="1200"/>
    <n v="696.84"/>
    <n v="503.16"/>
    <s v="James"/>
  </r>
  <r>
    <n v="1491"/>
    <d v="2025-10-06T00:00:00"/>
    <x v="1"/>
    <x v="1"/>
    <x v="1"/>
    <x v="1"/>
    <n v="250"/>
    <n v="2250"/>
    <n v="1734.22"/>
    <n v="515.78"/>
    <s v="James"/>
  </r>
  <r>
    <n v="1492"/>
    <d v="2025-06-26T00:00:00"/>
    <x v="2"/>
    <x v="0"/>
    <x v="8"/>
    <x v="9"/>
    <n v="2500"/>
    <n v="20000"/>
    <n v="16470.05"/>
    <n v="3529.95"/>
    <s v="Lilian"/>
  </r>
  <r>
    <n v="1493"/>
    <d v="2025-11-02T00:00:00"/>
    <x v="0"/>
    <x v="2"/>
    <x v="4"/>
    <x v="3"/>
    <n v="250"/>
    <n v="1250"/>
    <n v="698.9"/>
    <n v="551.1"/>
    <s v="Amina"/>
  </r>
  <r>
    <n v="1494"/>
    <d v="2025-10-27T00:00:00"/>
    <x v="0"/>
    <x v="2"/>
    <x v="5"/>
    <x v="9"/>
    <n v="2500"/>
    <n v="20000"/>
    <n v="13502.03"/>
    <n v="6497.97"/>
    <s v="Brian"/>
  </r>
  <r>
    <n v="1495"/>
    <d v="2025-01-29T00:00:00"/>
    <x v="0"/>
    <x v="1"/>
    <x v="2"/>
    <x v="8"/>
    <n v="500"/>
    <n v="2000"/>
    <n v="1473.58"/>
    <n v="526.41999999999996"/>
    <s v="Lilian"/>
  </r>
  <r>
    <n v="1496"/>
    <d v="2025-06-12T00:00:00"/>
    <x v="4"/>
    <x v="2"/>
    <x v="4"/>
    <x v="7"/>
    <n v="250"/>
    <n v="750"/>
    <n v="474.59"/>
    <n v="275.41000000000003"/>
    <s v="Lilian"/>
  </r>
  <r>
    <n v="1497"/>
    <d v="2025-10-16T00:00:00"/>
    <x v="0"/>
    <x v="1"/>
    <x v="1"/>
    <x v="4"/>
    <n v="2500"/>
    <n v="15000"/>
    <n v="11208.93"/>
    <n v="3791.07"/>
    <s v="James"/>
  </r>
  <r>
    <n v="1498"/>
    <d v="2025-01-29T00:00:00"/>
    <x v="0"/>
    <x v="0"/>
    <x v="8"/>
    <x v="7"/>
    <n v="1200"/>
    <n v="3600"/>
    <n v="2027.83"/>
    <n v="1572.17"/>
    <s v="Lilian"/>
  </r>
  <r>
    <n v="1499"/>
    <d v="2025-11-11T00:00:00"/>
    <x v="0"/>
    <x v="1"/>
    <x v="2"/>
    <x v="1"/>
    <n v="1200"/>
    <n v="10800"/>
    <n v="5942.58"/>
    <n v="4857.42"/>
    <s v="Brian"/>
  </r>
  <r>
    <n v="1500"/>
    <d v="2025-06-15T00:00:00"/>
    <x v="1"/>
    <x v="2"/>
    <x v="6"/>
    <x v="7"/>
    <n v="12000"/>
    <n v="36000"/>
    <n v="30437.98"/>
    <n v="5562.02"/>
    <s v="Amina"/>
  </r>
  <r>
    <n v="1501"/>
    <d v="2025-09-27T00:00:00"/>
    <x v="4"/>
    <x v="1"/>
    <x v="1"/>
    <x v="7"/>
    <n v="12000"/>
    <n v="36000"/>
    <n v="21197.599999999999"/>
    <n v="14802.4"/>
    <s v="Amina"/>
  </r>
  <r>
    <n v="1502"/>
    <d v="2025-06-04T00:00:00"/>
    <x v="4"/>
    <x v="2"/>
    <x v="6"/>
    <x v="6"/>
    <n v="2500"/>
    <n v="17500"/>
    <n v="10243.82"/>
    <n v="7256.18"/>
    <s v="Brian"/>
  </r>
  <r>
    <n v="1503"/>
    <d v="2025-09-07T00:00:00"/>
    <x v="4"/>
    <x v="1"/>
    <x v="1"/>
    <x v="6"/>
    <n v="12000"/>
    <n v="84000"/>
    <n v="64994.42"/>
    <n v="19005.580000000002"/>
    <s v="Brian"/>
  </r>
  <r>
    <n v="1504"/>
    <d v="2025-12-07T00:00:00"/>
    <x v="2"/>
    <x v="0"/>
    <x v="7"/>
    <x v="2"/>
    <n v="12000"/>
    <n v="120000"/>
    <n v="80986.67"/>
    <n v="39013.33"/>
    <s v="Brian"/>
  </r>
  <r>
    <n v="1505"/>
    <d v="2025-01-01T00:00:00"/>
    <x v="2"/>
    <x v="2"/>
    <x v="4"/>
    <x v="3"/>
    <n v="250"/>
    <n v="1250"/>
    <n v="765.25"/>
    <n v="484.75"/>
    <s v="James"/>
  </r>
  <r>
    <n v="1506"/>
    <d v="2025-11-10T00:00:00"/>
    <x v="0"/>
    <x v="0"/>
    <x v="0"/>
    <x v="7"/>
    <n v="2500"/>
    <n v="7500"/>
    <n v="4960.32"/>
    <n v="2539.6799999999998"/>
    <s v="Peter"/>
  </r>
  <r>
    <n v="1507"/>
    <d v="2025-02-09T00:00:00"/>
    <x v="0"/>
    <x v="0"/>
    <x v="0"/>
    <x v="9"/>
    <n v="250"/>
    <n v="2000"/>
    <n v="1331.82"/>
    <n v="668.18"/>
    <s v="Faith"/>
  </r>
  <r>
    <n v="1508"/>
    <d v="2025-11-24T00:00:00"/>
    <x v="4"/>
    <x v="2"/>
    <x v="5"/>
    <x v="5"/>
    <n v="12000"/>
    <n v="24000"/>
    <n v="19155.310000000001"/>
    <n v="4844.6899999999996"/>
    <s v="James"/>
  </r>
  <r>
    <n v="1509"/>
    <d v="2025-06-29T00:00:00"/>
    <x v="4"/>
    <x v="1"/>
    <x v="3"/>
    <x v="8"/>
    <n v="250"/>
    <n v="1000"/>
    <n v="792.61"/>
    <n v="207.39"/>
    <s v="Amina"/>
  </r>
  <r>
    <n v="1510"/>
    <d v="2025-08-03T00:00:00"/>
    <x v="0"/>
    <x v="0"/>
    <x v="0"/>
    <x v="0"/>
    <n v="1200"/>
    <n v="1200"/>
    <n v="844.05"/>
    <n v="355.95"/>
    <s v="James"/>
  </r>
  <r>
    <n v="1511"/>
    <d v="2025-09-03T00:00:00"/>
    <x v="2"/>
    <x v="2"/>
    <x v="4"/>
    <x v="4"/>
    <n v="2500"/>
    <n v="15000"/>
    <n v="10220.57"/>
    <n v="4779.43"/>
    <s v="Peter"/>
  </r>
  <r>
    <n v="1512"/>
    <d v="2025-01-18T00:00:00"/>
    <x v="4"/>
    <x v="0"/>
    <x v="0"/>
    <x v="7"/>
    <n v="1200"/>
    <n v="3600"/>
    <n v="2072.87"/>
    <n v="1527.13"/>
    <s v="Amina"/>
  </r>
  <r>
    <n v="1513"/>
    <d v="2025-07-12T00:00:00"/>
    <x v="0"/>
    <x v="2"/>
    <x v="4"/>
    <x v="5"/>
    <n v="150"/>
    <n v="300"/>
    <n v="200.89"/>
    <n v="99.11"/>
    <s v="Peter"/>
  </r>
  <r>
    <n v="1514"/>
    <d v="2025-11-11T00:00:00"/>
    <x v="3"/>
    <x v="1"/>
    <x v="1"/>
    <x v="5"/>
    <n v="500"/>
    <n v="1000"/>
    <n v="757.91"/>
    <n v="242.09"/>
    <s v="Peter"/>
  </r>
  <r>
    <n v="1515"/>
    <d v="2025-03-22T00:00:00"/>
    <x v="1"/>
    <x v="1"/>
    <x v="3"/>
    <x v="7"/>
    <n v="2500"/>
    <n v="7500"/>
    <n v="6460.6"/>
    <n v="1039.4000000000001"/>
    <s v="Amina"/>
  </r>
  <r>
    <n v="1516"/>
    <d v="2025-10-04T00:00:00"/>
    <x v="4"/>
    <x v="2"/>
    <x v="5"/>
    <x v="8"/>
    <n v="1200"/>
    <n v="4800"/>
    <n v="3811.29"/>
    <n v="988.71"/>
    <s v="Peter"/>
  </r>
  <r>
    <n v="1517"/>
    <d v="2025-10-20T00:00:00"/>
    <x v="2"/>
    <x v="2"/>
    <x v="4"/>
    <x v="8"/>
    <n v="150"/>
    <n v="600"/>
    <n v="340.42"/>
    <n v="259.58"/>
    <s v="James"/>
  </r>
  <r>
    <n v="1518"/>
    <d v="2025-05-31T00:00:00"/>
    <x v="2"/>
    <x v="1"/>
    <x v="2"/>
    <x v="4"/>
    <n v="150"/>
    <n v="900"/>
    <n v="629.70000000000005"/>
    <n v="270.3"/>
    <s v="James"/>
  </r>
  <r>
    <n v="1519"/>
    <d v="2025-05-30T00:00:00"/>
    <x v="1"/>
    <x v="1"/>
    <x v="2"/>
    <x v="0"/>
    <n v="250"/>
    <n v="250"/>
    <n v="152.44999999999999"/>
    <n v="97.55"/>
    <s v="James"/>
  </r>
  <r>
    <n v="1520"/>
    <d v="2025-12-05T00:00:00"/>
    <x v="4"/>
    <x v="1"/>
    <x v="3"/>
    <x v="6"/>
    <n v="1200"/>
    <n v="8400"/>
    <n v="6057.94"/>
    <n v="2342.06"/>
    <s v="Amina"/>
  </r>
  <r>
    <n v="1521"/>
    <d v="2025-07-15T00:00:00"/>
    <x v="4"/>
    <x v="0"/>
    <x v="7"/>
    <x v="6"/>
    <n v="250"/>
    <n v="1750"/>
    <n v="1189.75"/>
    <n v="560.25"/>
    <s v="Brian"/>
  </r>
  <r>
    <n v="1522"/>
    <d v="2025-04-26T00:00:00"/>
    <x v="4"/>
    <x v="2"/>
    <x v="5"/>
    <x v="3"/>
    <n v="1200"/>
    <n v="6000"/>
    <n v="4276.62"/>
    <n v="1723.38"/>
    <s v="Lilian"/>
  </r>
  <r>
    <n v="1523"/>
    <d v="2025-10-05T00:00:00"/>
    <x v="3"/>
    <x v="1"/>
    <x v="2"/>
    <x v="5"/>
    <n v="150"/>
    <n v="300"/>
    <n v="235.15"/>
    <n v="64.849999999999994"/>
    <s v="Lilian"/>
  </r>
  <r>
    <n v="1524"/>
    <d v="2025-09-25T00:00:00"/>
    <x v="3"/>
    <x v="1"/>
    <x v="1"/>
    <x v="0"/>
    <n v="12000"/>
    <n v="12000"/>
    <n v="8225.85"/>
    <n v="3774.15"/>
    <s v="Lilian"/>
  </r>
  <r>
    <n v="1525"/>
    <d v="2025-02-10T00:00:00"/>
    <x v="3"/>
    <x v="0"/>
    <x v="8"/>
    <x v="2"/>
    <n v="250"/>
    <n v="2500"/>
    <n v="1791.73"/>
    <n v="708.27"/>
    <s v="Peter"/>
  </r>
  <r>
    <n v="1526"/>
    <d v="2025-12-13T00:00:00"/>
    <x v="2"/>
    <x v="1"/>
    <x v="1"/>
    <x v="2"/>
    <n v="2500"/>
    <n v="25000"/>
    <n v="20753.939999999999"/>
    <n v="4246.0600000000004"/>
    <s v="Brian"/>
  </r>
  <r>
    <n v="1527"/>
    <d v="2025-04-09T00:00:00"/>
    <x v="0"/>
    <x v="1"/>
    <x v="3"/>
    <x v="7"/>
    <n v="250"/>
    <n v="750"/>
    <n v="667.69"/>
    <n v="82.31"/>
    <s v="Amina"/>
  </r>
  <r>
    <n v="1528"/>
    <d v="2025-11-18T00:00:00"/>
    <x v="0"/>
    <x v="2"/>
    <x v="5"/>
    <x v="6"/>
    <n v="250"/>
    <n v="1750"/>
    <n v="1573.33"/>
    <n v="176.67"/>
    <s v="Lilian"/>
  </r>
  <r>
    <n v="1529"/>
    <d v="2025-07-23T00:00:00"/>
    <x v="2"/>
    <x v="2"/>
    <x v="4"/>
    <x v="5"/>
    <n v="150"/>
    <n v="300"/>
    <n v="205.75"/>
    <n v="94.25"/>
    <s v="Faith"/>
  </r>
  <r>
    <n v="1530"/>
    <d v="2025-12-25T00:00:00"/>
    <x v="2"/>
    <x v="2"/>
    <x v="6"/>
    <x v="9"/>
    <n v="12000"/>
    <n v="96000"/>
    <n v="53215.42"/>
    <n v="42784.58"/>
    <s v="Lilian"/>
  </r>
  <r>
    <n v="1531"/>
    <d v="2025-10-18T00:00:00"/>
    <x v="2"/>
    <x v="0"/>
    <x v="8"/>
    <x v="5"/>
    <n v="1200"/>
    <n v="2400"/>
    <n v="1445.7"/>
    <n v="954.3"/>
    <s v="Lilian"/>
  </r>
  <r>
    <n v="1532"/>
    <d v="2025-05-27T00:00:00"/>
    <x v="2"/>
    <x v="1"/>
    <x v="2"/>
    <x v="2"/>
    <n v="12000"/>
    <n v="120000"/>
    <n v="70241.600000000006"/>
    <n v="49758.400000000001"/>
    <s v="Faith"/>
  </r>
  <r>
    <n v="1533"/>
    <d v="2025-11-08T00:00:00"/>
    <x v="3"/>
    <x v="2"/>
    <x v="4"/>
    <x v="6"/>
    <n v="5000"/>
    <n v="35000"/>
    <n v="25198.41"/>
    <n v="9801.59"/>
    <s v="Amina"/>
  </r>
  <r>
    <n v="1534"/>
    <d v="2025-12-15T00:00:00"/>
    <x v="3"/>
    <x v="1"/>
    <x v="3"/>
    <x v="6"/>
    <n v="250"/>
    <n v="1750"/>
    <n v="1341.17"/>
    <n v="408.83"/>
    <s v="Amina"/>
  </r>
  <r>
    <n v="1535"/>
    <d v="2025-05-18T00:00:00"/>
    <x v="4"/>
    <x v="2"/>
    <x v="4"/>
    <x v="8"/>
    <n v="150"/>
    <n v="600"/>
    <n v="486.61"/>
    <n v="113.39"/>
    <s v="Amina"/>
  </r>
  <r>
    <n v="1536"/>
    <d v="2025-12-23T00:00:00"/>
    <x v="1"/>
    <x v="2"/>
    <x v="4"/>
    <x v="3"/>
    <n v="500"/>
    <n v="2500"/>
    <n v="2112.4899999999998"/>
    <n v="387.51"/>
    <s v="Brian"/>
  </r>
  <r>
    <n v="1537"/>
    <d v="2025-05-18T00:00:00"/>
    <x v="3"/>
    <x v="1"/>
    <x v="3"/>
    <x v="9"/>
    <n v="12000"/>
    <n v="96000"/>
    <n v="80547.66"/>
    <n v="15452.34"/>
    <s v="Lilian"/>
  </r>
  <r>
    <n v="1538"/>
    <d v="2025-07-28T00:00:00"/>
    <x v="3"/>
    <x v="0"/>
    <x v="0"/>
    <x v="8"/>
    <n v="1200"/>
    <n v="4800"/>
    <n v="2995.14"/>
    <n v="1804.86"/>
    <s v="Lilian"/>
  </r>
  <r>
    <n v="1539"/>
    <d v="2025-06-09T00:00:00"/>
    <x v="2"/>
    <x v="2"/>
    <x v="5"/>
    <x v="1"/>
    <n v="12000"/>
    <n v="108000"/>
    <n v="65409.16"/>
    <n v="42590.84"/>
    <s v="James"/>
  </r>
  <r>
    <n v="1540"/>
    <d v="2025-04-13T00:00:00"/>
    <x v="1"/>
    <x v="1"/>
    <x v="1"/>
    <x v="2"/>
    <n v="150"/>
    <n v="1500"/>
    <n v="916.21"/>
    <n v="583.79"/>
    <s v="Brian"/>
  </r>
  <r>
    <n v="1541"/>
    <d v="2025-05-21T00:00:00"/>
    <x v="4"/>
    <x v="1"/>
    <x v="3"/>
    <x v="0"/>
    <n v="500"/>
    <n v="500"/>
    <n v="398.31"/>
    <n v="101.69"/>
    <s v="James"/>
  </r>
  <r>
    <n v="1542"/>
    <d v="2025-07-10T00:00:00"/>
    <x v="3"/>
    <x v="0"/>
    <x v="8"/>
    <x v="5"/>
    <n v="5000"/>
    <n v="10000"/>
    <n v="5606.97"/>
    <n v="4393.03"/>
    <s v="Lilian"/>
  </r>
  <r>
    <n v="1543"/>
    <d v="2025-06-26T00:00:00"/>
    <x v="0"/>
    <x v="2"/>
    <x v="5"/>
    <x v="9"/>
    <n v="2500"/>
    <n v="20000"/>
    <n v="14859.34"/>
    <n v="5140.66"/>
    <s v="Faith"/>
  </r>
  <r>
    <n v="1544"/>
    <d v="2025-01-26T00:00:00"/>
    <x v="0"/>
    <x v="0"/>
    <x v="7"/>
    <x v="5"/>
    <n v="500"/>
    <n v="1000"/>
    <n v="559.61"/>
    <n v="440.39"/>
    <s v="Lilian"/>
  </r>
  <r>
    <n v="1545"/>
    <d v="2025-11-30T00:00:00"/>
    <x v="3"/>
    <x v="1"/>
    <x v="2"/>
    <x v="8"/>
    <n v="5000"/>
    <n v="20000"/>
    <n v="12447.12"/>
    <n v="7552.88"/>
    <s v="Lilian"/>
  </r>
  <r>
    <n v="1546"/>
    <d v="2025-11-28T00:00:00"/>
    <x v="0"/>
    <x v="1"/>
    <x v="1"/>
    <x v="0"/>
    <n v="1200"/>
    <n v="1200"/>
    <n v="1042.8399999999999"/>
    <n v="157.16"/>
    <s v="Lilian"/>
  </r>
  <r>
    <n v="1547"/>
    <d v="2025-06-06T00:00:00"/>
    <x v="4"/>
    <x v="1"/>
    <x v="2"/>
    <x v="3"/>
    <n v="2500"/>
    <n v="12500"/>
    <n v="10397.25"/>
    <n v="2102.75"/>
    <s v="James"/>
  </r>
  <r>
    <n v="1548"/>
    <d v="2025-06-04T00:00:00"/>
    <x v="2"/>
    <x v="2"/>
    <x v="4"/>
    <x v="9"/>
    <n v="500"/>
    <n v="4000"/>
    <n v="2505.4899999999998"/>
    <n v="1494.51"/>
    <s v="Lilian"/>
  </r>
  <r>
    <n v="1549"/>
    <d v="2025-12-06T00:00:00"/>
    <x v="4"/>
    <x v="2"/>
    <x v="6"/>
    <x v="5"/>
    <n v="150"/>
    <n v="300"/>
    <n v="218.71"/>
    <n v="81.290000000000006"/>
    <s v="Lilian"/>
  </r>
  <r>
    <n v="1550"/>
    <d v="2025-02-25T00:00:00"/>
    <x v="3"/>
    <x v="0"/>
    <x v="7"/>
    <x v="2"/>
    <n v="500"/>
    <n v="5000"/>
    <n v="3272.33"/>
    <n v="1727.67"/>
    <s v="Amina"/>
  </r>
  <r>
    <n v="1551"/>
    <d v="2025-12-02T00:00:00"/>
    <x v="4"/>
    <x v="2"/>
    <x v="4"/>
    <x v="4"/>
    <n v="12000"/>
    <n v="72000"/>
    <n v="46577.5"/>
    <n v="25422.5"/>
    <s v="Brian"/>
  </r>
  <r>
    <n v="1552"/>
    <d v="2025-11-04T00:00:00"/>
    <x v="3"/>
    <x v="1"/>
    <x v="1"/>
    <x v="8"/>
    <n v="150"/>
    <n v="600"/>
    <n v="499.14"/>
    <n v="100.86"/>
    <s v="Peter"/>
  </r>
  <r>
    <n v="1553"/>
    <d v="2025-09-12T00:00:00"/>
    <x v="4"/>
    <x v="2"/>
    <x v="6"/>
    <x v="7"/>
    <n v="5000"/>
    <n v="15000"/>
    <n v="8383.64"/>
    <n v="6616.36"/>
    <s v="Faith"/>
  </r>
  <r>
    <n v="1554"/>
    <d v="2025-12-29T00:00:00"/>
    <x v="2"/>
    <x v="2"/>
    <x v="4"/>
    <x v="6"/>
    <n v="5000"/>
    <n v="35000"/>
    <n v="19682.66"/>
    <n v="15317.34"/>
    <s v="Brian"/>
  </r>
  <r>
    <n v="1555"/>
    <d v="2025-09-01T00:00:00"/>
    <x v="4"/>
    <x v="2"/>
    <x v="6"/>
    <x v="8"/>
    <n v="5000"/>
    <n v="20000"/>
    <n v="14742.45"/>
    <n v="5257.55"/>
    <s v="Lilian"/>
  </r>
  <r>
    <n v="1556"/>
    <d v="2025-08-30T00:00:00"/>
    <x v="0"/>
    <x v="2"/>
    <x v="5"/>
    <x v="1"/>
    <n v="250"/>
    <n v="2250"/>
    <n v="1468.85"/>
    <n v="781.15"/>
    <s v="Peter"/>
  </r>
  <r>
    <n v="1557"/>
    <d v="2025-12-15T00:00:00"/>
    <x v="4"/>
    <x v="2"/>
    <x v="6"/>
    <x v="1"/>
    <n v="12000"/>
    <n v="108000"/>
    <n v="93897.22"/>
    <n v="14102.78"/>
    <s v="Peter"/>
  </r>
  <r>
    <n v="1558"/>
    <d v="2025-06-07T00:00:00"/>
    <x v="3"/>
    <x v="1"/>
    <x v="2"/>
    <x v="4"/>
    <n v="250"/>
    <n v="1500"/>
    <n v="1215.71"/>
    <n v="284.29000000000002"/>
    <s v="Faith"/>
  </r>
  <r>
    <n v="1559"/>
    <d v="2025-03-02T00:00:00"/>
    <x v="3"/>
    <x v="2"/>
    <x v="4"/>
    <x v="2"/>
    <n v="500"/>
    <n v="5000"/>
    <n v="3561.58"/>
    <n v="1438.42"/>
    <s v="Amina"/>
  </r>
  <r>
    <n v="1560"/>
    <d v="2025-04-10T00:00:00"/>
    <x v="2"/>
    <x v="0"/>
    <x v="7"/>
    <x v="2"/>
    <n v="2500"/>
    <n v="25000"/>
    <n v="14373.14"/>
    <n v="10626.86"/>
    <s v="Amina"/>
  </r>
  <r>
    <n v="1561"/>
    <d v="2025-03-19T00:00:00"/>
    <x v="0"/>
    <x v="0"/>
    <x v="8"/>
    <x v="1"/>
    <n v="500"/>
    <n v="4500"/>
    <n v="3125.64"/>
    <n v="1374.36"/>
    <s v="Brian"/>
  </r>
  <r>
    <n v="1562"/>
    <d v="2025-04-03T00:00:00"/>
    <x v="1"/>
    <x v="2"/>
    <x v="4"/>
    <x v="2"/>
    <n v="1200"/>
    <n v="12000"/>
    <n v="7201.54"/>
    <n v="4798.46"/>
    <s v="James"/>
  </r>
  <r>
    <n v="1563"/>
    <d v="2025-01-03T00:00:00"/>
    <x v="3"/>
    <x v="2"/>
    <x v="6"/>
    <x v="7"/>
    <n v="500"/>
    <n v="1500"/>
    <n v="1158.1099999999999"/>
    <n v="341.89"/>
    <s v="Faith"/>
  </r>
  <r>
    <n v="1564"/>
    <d v="2025-02-15T00:00:00"/>
    <x v="0"/>
    <x v="1"/>
    <x v="2"/>
    <x v="2"/>
    <n v="12000"/>
    <n v="120000"/>
    <n v="72654.27"/>
    <n v="47345.73"/>
    <s v="Lilian"/>
  </r>
  <r>
    <n v="1565"/>
    <d v="2025-09-02T00:00:00"/>
    <x v="3"/>
    <x v="2"/>
    <x v="6"/>
    <x v="6"/>
    <n v="1200"/>
    <n v="8400"/>
    <n v="5881.33"/>
    <n v="2518.67"/>
    <s v="Amina"/>
  </r>
  <r>
    <n v="1566"/>
    <d v="2025-01-08T00:00:00"/>
    <x v="4"/>
    <x v="1"/>
    <x v="1"/>
    <x v="8"/>
    <n v="5000"/>
    <n v="20000"/>
    <n v="13611.71"/>
    <n v="6388.29"/>
    <s v="Lilian"/>
  </r>
  <r>
    <n v="1567"/>
    <d v="2025-04-26T00:00:00"/>
    <x v="4"/>
    <x v="1"/>
    <x v="2"/>
    <x v="0"/>
    <n v="5000"/>
    <n v="5000"/>
    <n v="4033.81"/>
    <n v="966.19"/>
    <s v="Faith"/>
  </r>
  <r>
    <n v="1568"/>
    <d v="2025-03-27T00:00:00"/>
    <x v="1"/>
    <x v="1"/>
    <x v="2"/>
    <x v="6"/>
    <n v="2500"/>
    <n v="17500"/>
    <n v="13230.61"/>
    <n v="4269.3900000000003"/>
    <s v="Amina"/>
  </r>
  <r>
    <n v="1569"/>
    <d v="2025-09-26T00:00:00"/>
    <x v="4"/>
    <x v="2"/>
    <x v="4"/>
    <x v="9"/>
    <n v="5000"/>
    <n v="40000"/>
    <n v="29284.04"/>
    <n v="10715.96"/>
    <s v="James"/>
  </r>
  <r>
    <n v="1570"/>
    <d v="2025-04-07T00:00:00"/>
    <x v="0"/>
    <x v="0"/>
    <x v="0"/>
    <x v="4"/>
    <n v="1200"/>
    <n v="7200"/>
    <n v="4865.3100000000004"/>
    <n v="2334.69"/>
    <s v="James"/>
  </r>
  <r>
    <n v="1571"/>
    <d v="2025-04-19T00:00:00"/>
    <x v="1"/>
    <x v="1"/>
    <x v="2"/>
    <x v="8"/>
    <n v="5000"/>
    <n v="20000"/>
    <n v="17894.16"/>
    <n v="2105.84"/>
    <s v="Lilian"/>
  </r>
  <r>
    <n v="1572"/>
    <d v="2025-01-20T00:00:00"/>
    <x v="3"/>
    <x v="0"/>
    <x v="0"/>
    <x v="5"/>
    <n v="500"/>
    <n v="1000"/>
    <n v="798.89"/>
    <n v="201.11"/>
    <s v="Peter"/>
  </r>
  <r>
    <n v="1573"/>
    <d v="2025-01-25T00:00:00"/>
    <x v="1"/>
    <x v="2"/>
    <x v="6"/>
    <x v="2"/>
    <n v="150"/>
    <n v="1500"/>
    <n v="1136.81"/>
    <n v="363.19"/>
    <s v="Peter"/>
  </r>
  <r>
    <n v="1574"/>
    <d v="2025-03-05T00:00:00"/>
    <x v="2"/>
    <x v="1"/>
    <x v="2"/>
    <x v="5"/>
    <n v="1200"/>
    <n v="2400"/>
    <n v="1693.22"/>
    <n v="706.78"/>
    <s v="Faith"/>
  </r>
  <r>
    <n v="1575"/>
    <d v="2025-11-19T00:00:00"/>
    <x v="1"/>
    <x v="2"/>
    <x v="6"/>
    <x v="7"/>
    <n v="250"/>
    <n v="750"/>
    <n v="594.99"/>
    <n v="155.01"/>
    <s v="Faith"/>
  </r>
  <r>
    <n v="1576"/>
    <d v="2025-11-15T00:00:00"/>
    <x v="2"/>
    <x v="2"/>
    <x v="6"/>
    <x v="5"/>
    <n v="5000"/>
    <n v="10000"/>
    <n v="7321.08"/>
    <n v="2678.92"/>
    <s v="Peter"/>
  </r>
  <r>
    <n v="1577"/>
    <d v="2025-03-02T00:00:00"/>
    <x v="4"/>
    <x v="1"/>
    <x v="3"/>
    <x v="5"/>
    <n v="2500"/>
    <n v="5000"/>
    <n v="4007.84"/>
    <n v="992.16"/>
    <s v="Amina"/>
  </r>
  <r>
    <n v="1578"/>
    <d v="2025-05-15T00:00:00"/>
    <x v="2"/>
    <x v="1"/>
    <x v="3"/>
    <x v="8"/>
    <n v="2500"/>
    <n v="10000"/>
    <n v="6199.12"/>
    <n v="3800.88"/>
    <s v="Brian"/>
  </r>
  <r>
    <n v="1579"/>
    <d v="2025-10-08T00:00:00"/>
    <x v="3"/>
    <x v="2"/>
    <x v="6"/>
    <x v="6"/>
    <n v="500"/>
    <n v="3500"/>
    <n v="2121.46"/>
    <n v="1378.54"/>
    <s v="Brian"/>
  </r>
  <r>
    <n v="1580"/>
    <d v="2025-12-10T00:00:00"/>
    <x v="1"/>
    <x v="0"/>
    <x v="8"/>
    <x v="4"/>
    <n v="250"/>
    <n v="1500"/>
    <n v="826.44"/>
    <n v="673.56"/>
    <s v="Amina"/>
  </r>
  <r>
    <n v="1581"/>
    <d v="2025-09-19T00:00:00"/>
    <x v="1"/>
    <x v="0"/>
    <x v="7"/>
    <x v="9"/>
    <n v="250"/>
    <n v="2000"/>
    <n v="1764.61"/>
    <n v="235.39"/>
    <s v="Peter"/>
  </r>
  <r>
    <n v="1582"/>
    <d v="2025-06-01T00:00:00"/>
    <x v="4"/>
    <x v="0"/>
    <x v="0"/>
    <x v="3"/>
    <n v="5000"/>
    <n v="25000"/>
    <n v="15772.65"/>
    <n v="9227.35"/>
    <s v="James"/>
  </r>
  <r>
    <n v="1583"/>
    <d v="2025-05-29T00:00:00"/>
    <x v="4"/>
    <x v="1"/>
    <x v="2"/>
    <x v="7"/>
    <n v="12000"/>
    <n v="36000"/>
    <n v="20297"/>
    <n v="15703"/>
    <s v="Peter"/>
  </r>
  <r>
    <n v="1584"/>
    <d v="2025-01-24T00:00:00"/>
    <x v="1"/>
    <x v="2"/>
    <x v="4"/>
    <x v="5"/>
    <n v="150"/>
    <n v="300"/>
    <n v="254.38"/>
    <n v="45.62"/>
    <s v="Brian"/>
  </r>
  <r>
    <n v="1585"/>
    <d v="2025-08-13T00:00:00"/>
    <x v="2"/>
    <x v="0"/>
    <x v="7"/>
    <x v="7"/>
    <n v="500"/>
    <n v="1500"/>
    <n v="1012.7"/>
    <n v="487.3"/>
    <s v="Faith"/>
  </r>
  <r>
    <n v="1586"/>
    <d v="2025-02-28T00:00:00"/>
    <x v="3"/>
    <x v="0"/>
    <x v="0"/>
    <x v="4"/>
    <n v="12000"/>
    <n v="72000"/>
    <n v="48236.61"/>
    <n v="23763.39"/>
    <s v="James"/>
  </r>
  <r>
    <n v="1587"/>
    <d v="2025-08-04T00:00:00"/>
    <x v="0"/>
    <x v="2"/>
    <x v="4"/>
    <x v="6"/>
    <n v="5000"/>
    <n v="35000"/>
    <n v="29670.73"/>
    <n v="5329.27"/>
    <s v="Amina"/>
  </r>
  <r>
    <n v="1588"/>
    <d v="2025-08-02T00:00:00"/>
    <x v="2"/>
    <x v="1"/>
    <x v="1"/>
    <x v="0"/>
    <n v="12000"/>
    <n v="12000"/>
    <n v="7269.46"/>
    <n v="4730.54"/>
    <s v="James"/>
  </r>
  <r>
    <n v="1589"/>
    <d v="2025-07-03T00:00:00"/>
    <x v="2"/>
    <x v="0"/>
    <x v="7"/>
    <x v="9"/>
    <n v="250"/>
    <n v="2000"/>
    <n v="1527.93"/>
    <n v="472.07"/>
    <s v="Amina"/>
  </r>
  <r>
    <n v="1590"/>
    <d v="2025-02-27T00:00:00"/>
    <x v="3"/>
    <x v="0"/>
    <x v="7"/>
    <x v="7"/>
    <n v="1200"/>
    <n v="3600"/>
    <n v="3139.7"/>
    <n v="460.3"/>
    <s v="James"/>
  </r>
  <r>
    <n v="1591"/>
    <d v="2025-12-27T00:00:00"/>
    <x v="2"/>
    <x v="1"/>
    <x v="2"/>
    <x v="3"/>
    <n v="5000"/>
    <n v="25000"/>
    <n v="16499.580000000002"/>
    <n v="8500.42"/>
    <s v="Peter"/>
  </r>
  <r>
    <n v="1592"/>
    <d v="2025-12-09T00:00:00"/>
    <x v="4"/>
    <x v="0"/>
    <x v="7"/>
    <x v="2"/>
    <n v="250"/>
    <n v="2500"/>
    <n v="2230.66"/>
    <n v="269.33999999999997"/>
    <s v="Lilian"/>
  </r>
  <r>
    <n v="1593"/>
    <d v="2025-05-08T00:00:00"/>
    <x v="3"/>
    <x v="0"/>
    <x v="7"/>
    <x v="2"/>
    <n v="150"/>
    <n v="1500"/>
    <n v="1052.25"/>
    <n v="447.75"/>
    <s v="Faith"/>
  </r>
  <r>
    <n v="1594"/>
    <d v="2025-10-13T00:00:00"/>
    <x v="2"/>
    <x v="0"/>
    <x v="7"/>
    <x v="6"/>
    <n v="250"/>
    <n v="1750"/>
    <n v="1476.41"/>
    <n v="273.58999999999997"/>
    <s v="Amina"/>
  </r>
  <r>
    <n v="1595"/>
    <d v="2025-09-11T00:00:00"/>
    <x v="0"/>
    <x v="1"/>
    <x v="1"/>
    <x v="7"/>
    <n v="2500"/>
    <n v="7500"/>
    <n v="6353.22"/>
    <n v="1146.78"/>
    <s v="Amina"/>
  </r>
  <r>
    <n v="1596"/>
    <d v="2025-01-26T00:00:00"/>
    <x v="2"/>
    <x v="2"/>
    <x v="4"/>
    <x v="8"/>
    <n v="500"/>
    <n v="2000"/>
    <n v="1779.1"/>
    <n v="220.9"/>
    <s v="Brian"/>
  </r>
  <r>
    <n v="1597"/>
    <d v="2025-02-10T00:00:00"/>
    <x v="3"/>
    <x v="0"/>
    <x v="7"/>
    <x v="6"/>
    <n v="1200"/>
    <n v="8400"/>
    <n v="7022.28"/>
    <n v="1377.72"/>
    <s v="James"/>
  </r>
  <r>
    <n v="1598"/>
    <d v="2025-06-11T00:00:00"/>
    <x v="1"/>
    <x v="0"/>
    <x v="8"/>
    <x v="5"/>
    <n v="12000"/>
    <n v="24000"/>
    <n v="17387.03"/>
    <n v="6612.97"/>
    <s v="James"/>
  </r>
  <r>
    <n v="1599"/>
    <d v="2025-01-19T00:00:00"/>
    <x v="2"/>
    <x v="0"/>
    <x v="7"/>
    <x v="0"/>
    <n v="150"/>
    <n v="150"/>
    <n v="103.68"/>
    <n v="46.32"/>
    <s v="Lilian"/>
  </r>
  <r>
    <n v="1600"/>
    <d v="2025-09-18T00:00:00"/>
    <x v="2"/>
    <x v="1"/>
    <x v="2"/>
    <x v="2"/>
    <n v="2500"/>
    <n v="25000"/>
    <n v="19328.46"/>
    <n v="5671.54"/>
    <s v="Brian"/>
  </r>
  <r>
    <n v="1601"/>
    <d v="2025-01-28T00:00:00"/>
    <x v="0"/>
    <x v="0"/>
    <x v="7"/>
    <x v="9"/>
    <n v="500"/>
    <n v="4000"/>
    <n v="2708.68"/>
    <n v="1291.32"/>
    <s v="James"/>
  </r>
  <r>
    <n v="1602"/>
    <d v="2025-12-03T00:00:00"/>
    <x v="4"/>
    <x v="2"/>
    <x v="6"/>
    <x v="2"/>
    <n v="2500"/>
    <n v="25000"/>
    <n v="17889.919999999998"/>
    <n v="7110.08"/>
    <s v="Peter"/>
  </r>
  <r>
    <n v="1603"/>
    <d v="2025-01-02T00:00:00"/>
    <x v="4"/>
    <x v="2"/>
    <x v="5"/>
    <x v="5"/>
    <n v="12000"/>
    <n v="24000"/>
    <n v="18734.849999999999"/>
    <n v="5265.15"/>
    <s v="Faith"/>
  </r>
  <r>
    <n v="1604"/>
    <d v="2025-02-24T00:00:00"/>
    <x v="1"/>
    <x v="0"/>
    <x v="8"/>
    <x v="1"/>
    <n v="2500"/>
    <n v="22500"/>
    <n v="15319.39"/>
    <n v="7180.61"/>
    <s v="Brian"/>
  </r>
  <r>
    <n v="1605"/>
    <d v="2025-04-11T00:00:00"/>
    <x v="0"/>
    <x v="2"/>
    <x v="5"/>
    <x v="6"/>
    <n v="150"/>
    <n v="1050"/>
    <n v="670.95"/>
    <n v="379.05"/>
    <s v="Amina"/>
  </r>
  <r>
    <n v="1606"/>
    <d v="2025-06-23T00:00:00"/>
    <x v="1"/>
    <x v="2"/>
    <x v="5"/>
    <x v="9"/>
    <n v="12000"/>
    <n v="96000"/>
    <n v="79055.73"/>
    <n v="16944.27"/>
    <s v="James"/>
  </r>
  <r>
    <n v="1607"/>
    <d v="2025-08-19T00:00:00"/>
    <x v="3"/>
    <x v="1"/>
    <x v="1"/>
    <x v="2"/>
    <n v="150"/>
    <n v="1500"/>
    <n v="1230.3800000000001"/>
    <n v="269.62"/>
    <s v="Peter"/>
  </r>
  <r>
    <n v="1608"/>
    <d v="2025-01-25T00:00:00"/>
    <x v="2"/>
    <x v="0"/>
    <x v="7"/>
    <x v="7"/>
    <n v="1200"/>
    <n v="3600"/>
    <n v="1985.47"/>
    <n v="1614.53"/>
    <s v="James"/>
  </r>
  <r>
    <n v="1609"/>
    <d v="2025-04-01T00:00:00"/>
    <x v="2"/>
    <x v="0"/>
    <x v="8"/>
    <x v="1"/>
    <n v="12000"/>
    <n v="108000"/>
    <n v="94219.94"/>
    <n v="13780.06"/>
    <s v="Brian"/>
  </r>
  <r>
    <n v="1610"/>
    <d v="2025-11-07T00:00:00"/>
    <x v="4"/>
    <x v="0"/>
    <x v="0"/>
    <x v="5"/>
    <n v="1200"/>
    <n v="2400"/>
    <n v="1872.32"/>
    <n v="527.67999999999995"/>
    <s v="Lilian"/>
  </r>
  <r>
    <n v="1611"/>
    <d v="2025-05-21T00:00:00"/>
    <x v="3"/>
    <x v="2"/>
    <x v="4"/>
    <x v="2"/>
    <n v="5000"/>
    <n v="50000"/>
    <n v="40841.56"/>
    <n v="9158.44"/>
    <s v="Faith"/>
  </r>
  <r>
    <n v="1612"/>
    <d v="2025-12-25T00:00:00"/>
    <x v="2"/>
    <x v="2"/>
    <x v="4"/>
    <x v="7"/>
    <n v="250"/>
    <n v="750"/>
    <n v="520.85"/>
    <n v="229.15"/>
    <s v="Faith"/>
  </r>
  <r>
    <n v="1613"/>
    <d v="2025-10-11T00:00:00"/>
    <x v="0"/>
    <x v="0"/>
    <x v="7"/>
    <x v="4"/>
    <n v="5000"/>
    <n v="30000"/>
    <n v="24236.6"/>
    <n v="5763.4"/>
    <s v="Brian"/>
  </r>
  <r>
    <n v="1614"/>
    <d v="2025-12-11T00:00:00"/>
    <x v="0"/>
    <x v="1"/>
    <x v="1"/>
    <x v="3"/>
    <n v="5000"/>
    <n v="25000"/>
    <n v="16771.32"/>
    <n v="8228.68"/>
    <s v="Peter"/>
  </r>
  <r>
    <n v="1615"/>
    <d v="2025-06-15T00:00:00"/>
    <x v="1"/>
    <x v="0"/>
    <x v="0"/>
    <x v="1"/>
    <n v="2500"/>
    <n v="22500"/>
    <n v="17842.71"/>
    <n v="4657.29"/>
    <s v="Faith"/>
  </r>
  <r>
    <n v="1616"/>
    <d v="2025-12-30T00:00:00"/>
    <x v="3"/>
    <x v="0"/>
    <x v="8"/>
    <x v="2"/>
    <n v="2500"/>
    <n v="25000"/>
    <n v="21998.39"/>
    <n v="3001.61"/>
    <s v="Peter"/>
  </r>
  <r>
    <n v="1617"/>
    <d v="2025-01-07T00:00:00"/>
    <x v="2"/>
    <x v="0"/>
    <x v="7"/>
    <x v="3"/>
    <n v="12000"/>
    <n v="60000"/>
    <n v="41870.11"/>
    <n v="18129.89"/>
    <s v="Amina"/>
  </r>
  <r>
    <n v="1618"/>
    <d v="2025-04-13T00:00:00"/>
    <x v="4"/>
    <x v="1"/>
    <x v="3"/>
    <x v="7"/>
    <n v="150"/>
    <n v="450"/>
    <n v="353.07"/>
    <n v="96.93"/>
    <s v="Brian"/>
  </r>
  <r>
    <n v="1619"/>
    <d v="2025-12-20T00:00:00"/>
    <x v="4"/>
    <x v="2"/>
    <x v="6"/>
    <x v="3"/>
    <n v="250"/>
    <n v="1250"/>
    <n v="1054.73"/>
    <n v="195.27"/>
    <s v="Brian"/>
  </r>
  <r>
    <n v="1620"/>
    <d v="2025-11-12T00:00:00"/>
    <x v="2"/>
    <x v="0"/>
    <x v="0"/>
    <x v="4"/>
    <n v="12000"/>
    <n v="72000"/>
    <n v="51005.38"/>
    <n v="20994.62"/>
    <s v="Brian"/>
  </r>
  <r>
    <n v="1621"/>
    <d v="2025-12-23T00:00:00"/>
    <x v="4"/>
    <x v="0"/>
    <x v="7"/>
    <x v="1"/>
    <n v="1200"/>
    <n v="10800"/>
    <n v="6838.11"/>
    <n v="3961.89"/>
    <s v="Peter"/>
  </r>
  <r>
    <n v="1622"/>
    <d v="2025-12-17T00:00:00"/>
    <x v="4"/>
    <x v="0"/>
    <x v="0"/>
    <x v="6"/>
    <n v="1200"/>
    <n v="8400"/>
    <n v="5844.7"/>
    <n v="2555.3000000000002"/>
    <s v="Lilian"/>
  </r>
  <r>
    <n v="1623"/>
    <d v="2025-08-15T00:00:00"/>
    <x v="0"/>
    <x v="1"/>
    <x v="2"/>
    <x v="3"/>
    <n v="250"/>
    <n v="1250"/>
    <n v="959"/>
    <n v="291"/>
    <s v="Peter"/>
  </r>
  <r>
    <n v="1624"/>
    <d v="2025-11-05T00:00:00"/>
    <x v="0"/>
    <x v="0"/>
    <x v="7"/>
    <x v="4"/>
    <n v="12000"/>
    <n v="72000"/>
    <n v="54427.31"/>
    <n v="17572.689999999999"/>
    <s v="Peter"/>
  </r>
  <r>
    <n v="1625"/>
    <d v="2025-02-08T00:00:00"/>
    <x v="0"/>
    <x v="1"/>
    <x v="3"/>
    <x v="9"/>
    <n v="250"/>
    <n v="2000"/>
    <n v="1788.42"/>
    <n v="211.58"/>
    <s v="Brian"/>
  </r>
  <r>
    <n v="1626"/>
    <d v="2025-05-23T00:00:00"/>
    <x v="2"/>
    <x v="0"/>
    <x v="7"/>
    <x v="5"/>
    <n v="1200"/>
    <n v="2400"/>
    <n v="1354.13"/>
    <n v="1045.8699999999999"/>
    <s v="Faith"/>
  </r>
  <r>
    <n v="1627"/>
    <d v="2025-06-19T00:00:00"/>
    <x v="3"/>
    <x v="1"/>
    <x v="2"/>
    <x v="2"/>
    <n v="12000"/>
    <n v="120000"/>
    <n v="76710.679999999993"/>
    <n v="43289.32"/>
    <s v="Peter"/>
  </r>
  <r>
    <n v="1628"/>
    <d v="2025-11-17T00:00:00"/>
    <x v="2"/>
    <x v="1"/>
    <x v="2"/>
    <x v="7"/>
    <n v="500"/>
    <n v="1500"/>
    <n v="1138.3599999999999"/>
    <n v="361.64"/>
    <s v="Peter"/>
  </r>
  <r>
    <n v="1629"/>
    <d v="2025-12-29T00:00:00"/>
    <x v="4"/>
    <x v="2"/>
    <x v="4"/>
    <x v="2"/>
    <n v="2500"/>
    <n v="25000"/>
    <n v="16883.25"/>
    <n v="8116.75"/>
    <s v="Lilian"/>
  </r>
  <r>
    <n v="1630"/>
    <d v="2025-03-23T00:00:00"/>
    <x v="3"/>
    <x v="1"/>
    <x v="2"/>
    <x v="1"/>
    <n v="150"/>
    <n v="1350"/>
    <n v="1114.01"/>
    <n v="235.99"/>
    <s v="Lilian"/>
  </r>
  <r>
    <n v="1631"/>
    <d v="2025-04-20T00:00:00"/>
    <x v="4"/>
    <x v="0"/>
    <x v="8"/>
    <x v="5"/>
    <n v="500"/>
    <n v="1000"/>
    <n v="627.41999999999996"/>
    <n v="372.58"/>
    <s v="Faith"/>
  </r>
  <r>
    <n v="1632"/>
    <d v="2025-09-01T00:00:00"/>
    <x v="2"/>
    <x v="2"/>
    <x v="4"/>
    <x v="8"/>
    <n v="12000"/>
    <n v="48000"/>
    <n v="36787.11"/>
    <n v="11212.89"/>
    <s v="Peter"/>
  </r>
  <r>
    <n v="1633"/>
    <d v="2025-11-25T00:00:00"/>
    <x v="2"/>
    <x v="1"/>
    <x v="2"/>
    <x v="4"/>
    <n v="1200"/>
    <n v="7200"/>
    <n v="4565.68"/>
    <n v="2634.32"/>
    <s v="Lilian"/>
  </r>
  <r>
    <n v="1634"/>
    <d v="2025-02-28T00:00:00"/>
    <x v="3"/>
    <x v="1"/>
    <x v="2"/>
    <x v="4"/>
    <n v="1200"/>
    <n v="7200"/>
    <n v="6268.15"/>
    <n v="931.85"/>
    <s v="Faith"/>
  </r>
  <r>
    <n v="1635"/>
    <d v="2025-07-11T00:00:00"/>
    <x v="2"/>
    <x v="0"/>
    <x v="7"/>
    <x v="3"/>
    <n v="150"/>
    <n v="750"/>
    <n v="651.73"/>
    <n v="98.27"/>
    <s v="Lilian"/>
  </r>
  <r>
    <n v="1636"/>
    <d v="2025-04-09T00:00:00"/>
    <x v="4"/>
    <x v="2"/>
    <x v="4"/>
    <x v="0"/>
    <n v="500"/>
    <n v="500"/>
    <n v="432.2"/>
    <n v="67.8"/>
    <s v="Lilian"/>
  </r>
  <r>
    <n v="1637"/>
    <d v="2025-01-04T00:00:00"/>
    <x v="1"/>
    <x v="1"/>
    <x v="2"/>
    <x v="7"/>
    <n v="12000"/>
    <n v="36000"/>
    <n v="26578.48"/>
    <n v="9421.52"/>
    <s v="Brian"/>
  </r>
  <r>
    <n v="1638"/>
    <d v="2025-02-23T00:00:00"/>
    <x v="0"/>
    <x v="0"/>
    <x v="7"/>
    <x v="8"/>
    <n v="12000"/>
    <n v="48000"/>
    <n v="37914.81"/>
    <n v="10085.19"/>
    <s v="Lilian"/>
  </r>
  <r>
    <n v="1639"/>
    <d v="2025-02-06T00:00:00"/>
    <x v="0"/>
    <x v="0"/>
    <x v="7"/>
    <x v="6"/>
    <n v="5000"/>
    <n v="35000"/>
    <n v="29255.24"/>
    <n v="5744.76"/>
    <s v="Amina"/>
  </r>
  <r>
    <n v="1640"/>
    <d v="2025-01-28T00:00:00"/>
    <x v="0"/>
    <x v="2"/>
    <x v="6"/>
    <x v="4"/>
    <n v="150"/>
    <n v="900"/>
    <n v="522.57000000000005"/>
    <n v="377.43"/>
    <s v="Faith"/>
  </r>
  <r>
    <n v="1641"/>
    <d v="2025-05-13T00:00:00"/>
    <x v="3"/>
    <x v="0"/>
    <x v="0"/>
    <x v="2"/>
    <n v="12000"/>
    <n v="120000"/>
    <n v="75561.119999999995"/>
    <n v="44438.879999999997"/>
    <s v="James"/>
  </r>
  <r>
    <n v="1642"/>
    <d v="2025-07-19T00:00:00"/>
    <x v="1"/>
    <x v="2"/>
    <x v="6"/>
    <x v="6"/>
    <n v="1200"/>
    <n v="8400"/>
    <n v="5550.23"/>
    <n v="2849.77"/>
    <s v="Lilian"/>
  </r>
  <r>
    <n v="1643"/>
    <d v="2025-10-27T00:00:00"/>
    <x v="1"/>
    <x v="1"/>
    <x v="1"/>
    <x v="2"/>
    <n v="150"/>
    <n v="1500"/>
    <n v="1221.8800000000001"/>
    <n v="278.12"/>
    <s v="Peter"/>
  </r>
  <r>
    <n v="1644"/>
    <d v="2025-12-18T00:00:00"/>
    <x v="4"/>
    <x v="1"/>
    <x v="3"/>
    <x v="1"/>
    <n v="150"/>
    <n v="1350"/>
    <n v="879.45"/>
    <n v="470.55"/>
    <s v="Lilian"/>
  </r>
  <r>
    <n v="1645"/>
    <d v="2025-12-05T00:00:00"/>
    <x v="1"/>
    <x v="1"/>
    <x v="3"/>
    <x v="9"/>
    <n v="1200"/>
    <n v="9600"/>
    <n v="6607.58"/>
    <n v="2992.42"/>
    <s v="James"/>
  </r>
  <r>
    <n v="1646"/>
    <d v="2025-10-07T00:00:00"/>
    <x v="4"/>
    <x v="1"/>
    <x v="1"/>
    <x v="8"/>
    <n v="250"/>
    <n v="1000"/>
    <n v="811.36"/>
    <n v="188.64"/>
    <s v="Peter"/>
  </r>
  <r>
    <n v="1647"/>
    <d v="2025-10-12T00:00:00"/>
    <x v="0"/>
    <x v="1"/>
    <x v="3"/>
    <x v="4"/>
    <n v="150"/>
    <n v="900"/>
    <n v="669.36"/>
    <n v="230.64"/>
    <s v="Amina"/>
  </r>
  <r>
    <n v="1648"/>
    <d v="2025-10-08T00:00:00"/>
    <x v="1"/>
    <x v="1"/>
    <x v="2"/>
    <x v="2"/>
    <n v="2500"/>
    <n v="25000"/>
    <n v="17198.21"/>
    <n v="7801.79"/>
    <s v="Faith"/>
  </r>
  <r>
    <n v="1649"/>
    <d v="2025-11-27T00:00:00"/>
    <x v="2"/>
    <x v="1"/>
    <x v="1"/>
    <x v="4"/>
    <n v="250"/>
    <n v="1500"/>
    <n v="1041.6400000000001"/>
    <n v="458.36"/>
    <s v="Brian"/>
  </r>
  <r>
    <n v="1650"/>
    <d v="2025-04-10T00:00:00"/>
    <x v="1"/>
    <x v="1"/>
    <x v="2"/>
    <x v="8"/>
    <n v="2500"/>
    <n v="10000"/>
    <n v="8421.6200000000008"/>
    <n v="1578.38"/>
    <s v="Brian"/>
  </r>
  <r>
    <n v="1651"/>
    <d v="2025-10-09T00:00:00"/>
    <x v="3"/>
    <x v="0"/>
    <x v="7"/>
    <x v="0"/>
    <n v="12000"/>
    <n v="12000"/>
    <n v="9754.3799999999992"/>
    <n v="2245.62"/>
    <s v="Peter"/>
  </r>
  <r>
    <n v="1652"/>
    <d v="2025-02-20T00:00:00"/>
    <x v="0"/>
    <x v="0"/>
    <x v="0"/>
    <x v="3"/>
    <n v="5000"/>
    <n v="25000"/>
    <n v="14339.42"/>
    <n v="10660.58"/>
    <s v="Peter"/>
  </r>
  <r>
    <n v="1653"/>
    <d v="2025-12-02T00:00:00"/>
    <x v="0"/>
    <x v="0"/>
    <x v="8"/>
    <x v="4"/>
    <n v="500"/>
    <n v="3000"/>
    <n v="1784.63"/>
    <n v="1215.3699999999999"/>
    <s v="Amina"/>
  </r>
  <r>
    <n v="1654"/>
    <d v="2025-08-19T00:00:00"/>
    <x v="4"/>
    <x v="2"/>
    <x v="6"/>
    <x v="5"/>
    <n v="250"/>
    <n v="500"/>
    <n v="330.61"/>
    <n v="169.39"/>
    <s v="Lilian"/>
  </r>
  <r>
    <n v="1655"/>
    <d v="2025-07-06T00:00:00"/>
    <x v="4"/>
    <x v="0"/>
    <x v="8"/>
    <x v="2"/>
    <n v="250"/>
    <n v="2500"/>
    <n v="1869.86"/>
    <n v="630.14"/>
    <s v="James"/>
  </r>
  <r>
    <n v="1656"/>
    <d v="2025-12-31T00:00:00"/>
    <x v="3"/>
    <x v="1"/>
    <x v="2"/>
    <x v="4"/>
    <n v="250"/>
    <n v="1500"/>
    <n v="1237.47"/>
    <n v="262.52999999999997"/>
    <s v="Faith"/>
  </r>
  <r>
    <n v="1657"/>
    <d v="2025-07-03T00:00:00"/>
    <x v="4"/>
    <x v="2"/>
    <x v="5"/>
    <x v="4"/>
    <n v="1200"/>
    <n v="7200"/>
    <n v="5126.38"/>
    <n v="2073.62"/>
    <s v="James"/>
  </r>
  <r>
    <n v="1658"/>
    <d v="2025-05-24T00:00:00"/>
    <x v="0"/>
    <x v="0"/>
    <x v="0"/>
    <x v="7"/>
    <n v="5000"/>
    <n v="15000"/>
    <n v="11434.8"/>
    <n v="3565.2"/>
    <s v="Lilian"/>
  </r>
  <r>
    <n v="1659"/>
    <d v="2025-01-10T00:00:00"/>
    <x v="2"/>
    <x v="1"/>
    <x v="3"/>
    <x v="5"/>
    <n v="5000"/>
    <n v="10000"/>
    <n v="5763.9"/>
    <n v="4236.1000000000004"/>
    <s v="Peter"/>
  </r>
  <r>
    <n v="1660"/>
    <d v="2025-04-19T00:00:00"/>
    <x v="1"/>
    <x v="1"/>
    <x v="1"/>
    <x v="2"/>
    <n v="1200"/>
    <n v="12000"/>
    <n v="9830.64"/>
    <n v="2169.36"/>
    <s v="Lilian"/>
  </r>
  <r>
    <n v="1661"/>
    <d v="2025-03-18T00:00:00"/>
    <x v="4"/>
    <x v="2"/>
    <x v="6"/>
    <x v="1"/>
    <n v="1200"/>
    <n v="10800"/>
    <n v="8411.77"/>
    <n v="2388.23"/>
    <s v="James"/>
  </r>
  <r>
    <n v="1662"/>
    <d v="2025-09-19T00:00:00"/>
    <x v="1"/>
    <x v="1"/>
    <x v="1"/>
    <x v="3"/>
    <n v="250"/>
    <n v="1250"/>
    <n v="890.81"/>
    <n v="359.19"/>
    <s v="James"/>
  </r>
  <r>
    <n v="1663"/>
    <d v="2025-11-11T00:00:00"/>
    <x v="0"/>
    <x v="2"/>
    <x v="6"/>
    <x v="0"/>
    <n v="5000"/>
    <n v="5000"/>
    <n v="3168.04"/>
    <n v="1831.96"/>
    <s v="Lilian"/>
  </r>
  <r>
    <n v="1664"/>
    <d v="2025-10-17T00:00:00"/>
    <x v="0"/>
    <x v="1"/>
    <x v="3"/>
    <x v="7"/>
    <n v="250"/>
    <n v="750"/>
    <n v="561.16999999999996"/>
    <n v="188.83"/>
    <s v="Peter"/>
  </r>
  <r>
    <n v="1665"/>
    <d v="2025-09-07T00:00:00"/>
    <x v="0"/>
    <x v="0"/>
    <x v="8"/>
    <x v="4"/>
    <n v="150"/>
    <n v="900"/>
    <n v="563.92999999999995"/>
    <n v="336.07"/>
    <s v="Amina"/>
  </r>
  <r>
    <n v="1666"/>
    <d v="2025-09-23T00:00:00"/>
    <x v="4"/>
    <x v="2"/>
    <x v="4"/>
    <x v="8"/>
    <n v="150"/>
    <n v="600"/>
    <n v="470.4"/>
    <n v="129.6"/>
    <s v="James"/>
  </r>
  <r>
    <n v="1667"/>
    <d v="2025-06-15T00:00:00"/>
    <x v="1"/>
    <x v="2"/>
    <x v="4"/>
    <x v="0"/>
    <n v="150"/>
    <n v="150"/>
    <n v="133.97999999999999"/>
    <n v="16.02"/>
    <s v="Peter"/>
  </r>
  <r>
    <n v="1668"/>
    <d v="2025-10-24T00:00:00"/>
    <x v="2"/>
    <x v="0"/>
    <x v="7"/>
    <x v="3"/>
    <n v="12000"/>
    <n v="60000"/>
    <n v="48580.1"/>
    <n v="11419.9"/>
    <s v="Lilian"/>
  </r>
  <r>
    <n v="1669"/>
    <d v="2025-02-09T00:00:00"/>
    <x v="2"/>
    <x v="1"/>
    <x v="3"/>
    <x v="6"/>
    <n v="500"/>
    <n v="3500"/>
    <n v="2644.91"/>
    <n v="855.09"/>
    <s v="Faith"/>
  </r>
  <r>
    <n v="1670"/>
    <d v="2025-06-26T00:00:00"/>
    <x v="3"/>
    <x v="2"/>
    <x v="5"/>
    <x v="1"/>
    <n v="1200"/>
    <n v="10800"/>
    <n v="7273.95"/>
    <n v="3526.05"/>
    <s v="James"/>
  </r>
  <r>
    <n v="1671"/>
    <d v="2025-04-28T00:00:00"/>
    <x v="1"/>
    <x v="0"/>
    <x v="0"/>
    <x v="1"/>
    <n v="250"/>
    <n v="2250"/>
    <n v="1583.92"/>
    <n v="666.08"/>
    <s v="Lilian"/>
  </r>
  <r>
    <n v="1672"/>
    <d v="2025-07-05T00:00:00"/>
    <x v="2"/>
    <x v="0"/>
    <x v="8"/>
    <x v="8"/>
    <n v="250"/>
    <n v="1000"/>
    <n v="615.41999999999996"/>
    <n v="384.58"/>
    <s v="Peter"/>
  </r>
  <r>
    <n v="1673"/>
    <d v="2025-02-28T00:00:00"/>
    <x v="3"/>
    <x v="1"/>
    <x v="1"/>
    <x v="8"/>
    <n v="1200"/>
    <n v="4800"/>
    <n v="4002.77"/>
    <n v="797.23"/>
    <s v="Peter"/>
  </r>
  <r>
    <n v="1674"/>
    <d v="2025-07-30T00:00:00"/>
    <x v="1"/>
    <x v="2"/>
    <x v="4"/>
    <x v="8"/>
    <n v="2500"/>
    <n v="10000"/>
    <n v="6064.36"/>
    <n v="3935.64"/>
    <s v="Brian"/>
  </r>
  <r>
    <n v="1675"/>
    <d v="2025-11-19T00:00:00"/>
    <x v="2"/>
    <x v="1"/>
    <x v="2"/>
    <x v="2"/>
    <n v="2500"/>
    <n v="25000"/>
    <n v="15159.88"/>
    <n v="9840.1200000000008"/>
    <s v="Amina"/>
  </r>
  <r>
    <n v="1676"/>
    <d v="2025-04-03T00:00:00"/>
    <x v="2"/>
    <x v="0"/>
    <x v="0"/>
    <x v="0"/>
    <n v="250"/>
    <n v="250"/>
    <n v="160.1"/>
    <n v="89.9"/>
    <s v="James"/>
  </r>
  <r>
    <n v="1677"/>
    <d v="2025-05-26T00:00:00"/>
    <x v="1"/>
    <x v="0"/>
    <x v="7"/>
    <x v="0"/>
    <n v="5000"/>
    <n v="5000"/>
    <n v="4023.96"/>
    <n v="976.04"/>
    <s v="Brian"/>
  </r>
  <r>
    <n v="1678"/>
    <d v="2025-04-23T00:00:00"/>
    <x v="3"/>
    <x v="2"/>
    <x v="6"/>
    <x v="9"/>
    <n v="12000"/>
    <n v="96000"/>
    <n v="68984.06"/>
    <n v="27015.94"/>
    <s v="Lilian"/>
  </r>
  <r>
    <n v="1679"/>
    <d v="2025-05-16T00:00:00"/>
    <x v="0"/>
    <x v="1"/>
    <x v="1"/>
    <x v="7"/>
    <n v="2500"/>
    <n v="7500"/>
    <n v="5856.58"/>
    <n v="1643.42"/>
    <s v="Peter"/>
  </r>
  <r>
    <n v="1680"/>
    <d v="2025-04-28T00:00:00"/>
    <x v="3"/>
    <x v="0"/>
    <x v="8"/>
    <x v="9"/>
    <n v="2500"/>
    <n v="20000"/>
    <n v="15134.17"/>
    <n v="4865.83"/>
    <s v="James"/>
  </r>
  <r>
    <n v="1681"/>
    <d v="2025-09-16T00:00:00"/>
    <x v="3"/>
    <x v="1"/>
    <x v="2"/>
    <x v="0"/>
    <n v="250"/>
    <n v="250"/>
    <n v="183.24"/>
    <n v="66.760000000000005"/>
    <s v="Brian"/>
  </r>
  <r>
    <n v="1682"/>
    <d v="2025-11-04T00:00:00"/>
    <x v="1"/>
    <x v="0"/>
    <x v="0"/>
    <x v="7"/>
    <n v="1200"/>
    <n v="3600"/>
    <n v="3116.03"/>
    <n v="483.97"/>
    <s v="Lilian"/>
  </r>
  <r>
    <n v="1683"/>
    <d v="2025-11-05T00:00:00"/>
    <x v="2"/>
    <x v="0"/>
    <x v="0"/>
    <x v="5"/>
    <n v="1200"/>
    <n v="2400"/>
    <n v="1873.89"/>
    <n v="526.11"/>
    <s v="Amina"/>
  </r>
  <r>
    <n v="1684"/>
    <d v="2025-01-23T00:00:00"/>
    <x v="2"/>
    <x v="0"/>
    <x v="7"/>
    <x v="6"/>
    <n v="2500"/>
    <n v="17500"/>
    <n v="12201.69"/>
    <n v="5298.31"/>
    <s v="James"/>
  </r>
  <r>
    <n v="1685"/>
    <d v="2025-12-23T00:00:00"/>
    <x v="2"/>
    <x v="1"/>
    <x v="3"/>
    <x v="6"/>
    <n v="500"/>
    <n v="3500"/>
    <n v="2646.58"/>
    <n v="853.42"/>
    <s v="Amina"/>
  </r>
  <r>
    <n v="1686"/>
    <d v="2025-02-12T00:00:00"/>
    <x v="4"/>
    <x v="2"/>
    <x v="5"/>
    <x v="3"/>
    <n v="1200"/>
    <n v="6000"/>
    <n v="4908.3"/>
    <n v="1091.7"/>
    <s v="Lilian"/>
  </r>
  <r>
    <n v="1687"/>
    <d v="2025-01-04T00:00:00"/>
    <x v="2"/>
    <x v="0"/>
    <x v="8"/>
    <x v="3"/>
    <n v="250"/>
    <n v="1250"/>
    <n v="689.89"/>
    <n v="560.11"/>
    <s v="Lilian"/>
  </r>
  <r>
    <n v="1688"/>
    <d v="2025-12-19T00:00:00"/>
    <x v="4"/>
    <x v="1"/>
    <x v="1"/>
    <x v="0"/>
    <n v="1200"/>
    <n v="1200"/>
    <n v="934.91"/>
    <n v="265.08999999999997"/>
    <s v="James"/>
  </r>
  <r>
    <n v="1689"/>
    <d v="2025-05-10T00:00:00"/>
    <x v="4"/>
    <x v="2"/>
    <x v="5"/>
    <x v="7"/>
    <n v="1200"/>
    <n v="3600"/>
    <n v="2800.99"/>
    <n v="799.01"/>
    <s v="Lilian"/>
  </r>
  <r>
    <n v="1690"/>
    <d v="2025-12-15T00:00:00"/>
    <x v="3"/>
    <x v="2"/>
    <x v="6"/>
    <x v="4"/>
    <n v="2500"/>
    <n v="15000"/>
    <n v="9696.69"/>
    <n v="5303.31"/>
    <s v="Brian"/>
  </r>
  <r>
    <n v="1691"/>
    <d v="2025-10-14T00:00:00"/>
    <x v="2"/>
    <x v="2"/>
    <x v="6"/>
    <x v="1"/>
    <n v="1200"/>
    <n v="10800"/>
    <n v="6615.56"/>
    <n v="4184.4399999999996"/>
    <s v="James"/>
  </r>
  <r>
    <n v="1692"/>
    <d v="2025-07-23T00:00:00"/>
    <x v="0"/>
    <x v="2"/>
    <x v="4"/>
    <x v="2"/>
    <n v="500"/>
    <n v="5000"/>
    <n v="4104.84"/>
    <n v="895.16"/>
    <s v="Peter"/>
  </r>
  <r>
    <n v="1693"/>
    <d v="2025-03-24T00:00:00"/>
    <x v="1"/>
    <x v="1"/>
    <x v="1"/>
    <x v="8"/>
    <n v="1200"/>
    <n v="4800"/>
    <n v="3955.62"/>
    <n v="844.38"/>
    <s v="Brian"/>
  </r>
  <r>
    <n v="1694"/>
    <d v="2025-12-23T00:00:00"/>
    <x v="1"/>
    <x v="0"/>
    <x v="8"/>
    <x v="4"/>
    <n v="12000"/>
    <n v="72000"/>
    <n v="53474.52"/>
    <n v="18525.48"/>
    <s v="Brian"/>
  </r>
  <r>
    <n v="1695"/>
    <d v="2025-03-16T00:00:00"/>
    <x v="3"/>
    <x v="2"/>
    <x v="6"/>
    <x v="0"/>
    <n v="12000"/>
    <n v="12000"/>
    <n v="6982.57"/>
    <n v="5017.43"/>
    <s v="Lilian"/>
  </r>
  <r>
    <n v="1696"/>
    <d v="2025-02-10T00:00:00"/>
    <x v="2"/>
    <x v="2"/>
    <x v="5"/>
    <x v="5"/>
    <n v="500"/>
    <n v="1000"/>
    <n v="627.62"/>
    <n v="372.38"/>
    <s v="Amina"/>
  </r>
  <r>
    <n v="1697"/>
    <d v="2025-05-27T00:00:00"/>
    <x v="2"/>
    <x v="0"/>
    <x v="8"/>
    <x v="6"/>
    <n v="2500"/>
    <n v="17500"/>
    <n v="13644.07"/>
    <n v="3855.93"/>
    <s v="Amina"/>
  </r>
  <r>
    <n v="1698"/>
    <d v="2025-12-03T00:00:00"/>
    <x v="2"/>
    <x v="1"/>
    <x v="1"/>
    <x v="9"/>
    <n v="1200"/>
    <n v="9600"/>
    <n v="5315.99"/>
    <n v="4284.01"/>
    <s v="Faith"/>
  </r>
  <r>
    <n v="1699"/>
    <d v="2025-04-29T00:00:00"/>
    <x v="2"/>
    <x v="1"/>
    <x v="2"/>
    <x v="2"/>
    <n v="2500"/>
    <n v="25000"/>
    <n v="18263.37"/>
    <n v="6736.63"/>
    <s v="Brian"/>
  </r>
  <r>
    <n v="1700"/>
    <d v="2025-03-22T00:00:00"/>
    <x v="1"/>
    <x v="0"/>
    <x v="0"/>
    <x v="4"/>
    <n v="250"/>
    <n v="1500"/>
    <n v="1168.8900000000001"/>
    <n v="331.11"/>
    <s v="Faith"/>
  </r>
  <r>
    <n v="1701"/>
    <d v="2025-09-23T00:00:00"/>
    <x v="1"/>
    <x v="2"/>
    <x v="4"/>
    <x v="6"/>
    <n v="1200"/>
    <n v="8400"/>
    <n v="6343.08"/>
    <n v="2056.92"/>
    <s v="Peter"/>
  </r>
  <r>
    <n v="1702"/>
    <d v="2025-10-14T00:00:00"/>
    <x v="2"/>
    <x v="0"/>
    <x v="0"/>
    <x v="5"/>
    <n v="2500"/>
    <n v="5000"/>
    <n v="3247.86"/>
    <n v="1752.14"/>
    <s v="Faith"/>
  </r>
  <r>
    <n v="1703"/>
    <d v="2025-08-21T00:00:00"/>
    <x v="3"/>
    <x v="2"/>
    <x v="4"/>
    <x v="8"/>
    <n v="2500"/>
    <n v="10000"/>
    <n v="8870.7000000000007"/>
    <n v="1129.3"/>
    <s v="Lilian"/>
  </r>
  <r>
    <n v="1704"/>
    <d v="2025-10-14T00:00:00"/>
    <x v="1"/>
    <x v="1"/>
    <x v="3"/>
    <x v="7"/>
    <n v="1200"/>
    <n v="3600"/>
    <n v="2617.86"/>
    <n v="982.14"/>
    <s v="Lilian"/>
  </r>
  <r>
    <n v="1705"/>
    <d v="2025-05-12T00:00:00"/>
    <x v="2"/>
    <x v="2"/>
    <x v="4"/>
    <x v="5"/>
    <n v="12000"/>
    <n v="24000"/>
    <n v="17511.61"/>
    <n v="6488.39"/>
    <s v="Lilian"/>
  </r>
  <r>
    <n v="1706"/>
    <d v="2025-05-05T00:00:00"/>
    <x v="4"/>
    <x v="2"/>
    <x v="6"/>
    <x v="9"/>
    <n v="1200"/>
    <n v="9600"/>
    <n v="7172.25"/>
    <n v="2427.75"/>
    <s v="James"/>
  </r>
  <r>
    <n v="1707"/>
    <d v="2025-03-01T00:00:00"/>
    <x v="4"/>
    <x v="0"/>
    <x v="8"/>
    <x v="2"/>
    <n v="12000"/>
    <n v="120000"/>
    <n v="67148.73"/>
    <n v="52851.27"/>
    <s v="Amina"/>
  </r>
  <r>
    <n v="1708"/>
    <d v="2025-06-11T00:00:00"/>
    <x v="3"/>
    <x v="2"/>
    <x v="6"/>
    <x v="8"/>
    <n v="5000"/>
    <n v="20000"/>
    <n v="15908.23"/>
    <n v="4091.77"/>
    <s v="Faith"/>
  </r>
  <r>
    <n v="1709"/>
    <d v="2025-05-08T00:00:00"/>
    <x v="4"/>
    <x v="0"/>
    <x v="7"/>
    <x v="0"/>
    <n v="5000"/>
    <n v="5000"/>
    <n v="4206.3100000000004"/>
    <n v="793.69"/>
    <s v="Amina"/>
  </r>
  <r>
    <n v="1710"/>
    <d v="2025-04-02T00:00:00"/>
    <x v="3"/>
    <x v="2"/>
    <x v="6"/>
    <x v="4"/>
    <n v="150"/>
    <n v="900"/>
    <n v="669.68"/>
    <n v="230.32"/>
    <s v="Faith"/>
  </r>
  <r>
    <n v="1711"/>
    <d v="2025-12-16T00:00:00"/>
    <x v="0"/>
    <x v="2"/>
    <x v="5"/>
    <x v="2"/>
    <n v="500"/>
    <n v="5000"/>
    <n v="3069.87"/>
    <n v="1930.13"/>
    <s v="James"/>
  </r>
  <r>
    <n v="1712"/>
    <d v="2025-05-16T00:00:00"/>
    <x v="0"/>
    <x v="0"/>
    <x v="0"/>
    <x v="8"/>
    <n v="5000"/>
    <n v="20000"/>
    <n v="12694.4"/>
    <n v="7305.6"/>
    <s v="Brian"/>
  </r>
  <r>
    <n v="1713"/>
    <d v="2025-02-24T00:00:00"/>
    <x v="1"/>
    <x v="1"/>
    <x v="2"/>
    <x v="2"/>
    <n v="500"/>
    <n v="5000"/>
    <n v="3022.99"/>
    <n v="1977.01"/>
    <s v="Amina"/>
  </r>
  <r>
    <n v="1714"/>
    <d v="2025-10-05T00:00:00"/>
    <x v="1"/>
    <x v="0"/>
    <x v="7"/>
    <x v="9"/>
    <n v="2500"/>
    <n v="20000"/>
    <n v="11046.37"/>
    <n v="8953.6299999999992"/>
    <s v="James"/>
  </r>
  <r>
    <n v="1715"/>
    <d v="2025-10-22T00:00:00"/>
    <x v="4"/>
    <x v="2"/>
    <x v="6"/>
    <x v="4"/>
    <n v="1200"/>
    <n v="7200"/>
    <n v="6223.27"/>
    <n v="976.73"/>
    <s v="James"/>
  </r>
  <r>
    <n v="1716"/>
    <d v="2025-10-23T00:00:00"/>
    <x v="0"/>
    <x v="1"/>
    <x v="1"/>
    <x v="3"/>
    <n v="1200"/>
    <n v="6000"/>
    <n v="3766.39"/>
    <n v="2233.61"/>
    <s v="Amina"/>
  </r>
  <r>
    <n v="1717"/>
    <d v="2025-06-27T00:00:00"/>
    <x v="3"/>
    <x v="0"/>
    <x v="8"/>
    <x v="9"/>
    <n v="2500"/>
    <n v="20000"/>
    <n v="11227.94"/>
    <n v="8772.06"/>
    <s v="Peter"/>
  </r>
  <r>
    <n v="1718"/>
    <d v="2025-06-11T00:00:00"/>
    <x v="1"/>
    <x v="1"/>
    <x v="3"/>
    <x v="5"/>
    <n v="5000"/>
    <n v="10000"/>
    <n v="7313.72"/>
    <n v="2686.28"/>
    <s v="Amina"/>
  </r>
  <r>
    <n v="1719"/>
    <d v="2025-07-05T00:00:00"/>
    <x v="2"/>
    <x v="0"/>
    <x v="0"/>
    <x v="6"/>
    <n v="2500"/>
    <n v="17500"/>
    <n v="10242.08"/>
    <n v="7257.92"/>
    <s v="Faith"/>
  </r>
  <r>
    <n v="1720"/>
    <d v="2025-11-10T00:00:00"/>
    <x v="4"/>
    <x v="1"/>
    <x v="1"/>
    <x v="3"/>
    <n v="250"/>
    <n v="1250"/>
    <n v="805.37"/>
    <n v="444.63"/>
    <s v="Faith"/>
  </r>
  <r>
    <n v="1721"/>
    <d v="2025-07-10T00:00:00"/>
    <x v="4"/>
    <x v="1"/>
    <x v="3"/>
    <x v="6"/>
    <n v="250"/>
    <n v="1750"/>
    <n v="1219.19"/>
    <n v="530.80999999999995"/>
    <s v="James"/>
  </r>
  <r>
    <n v="1722"/>
    <d v="2025-10-22T00:00:00"/>
    <x v="0"/>
    <x v="2"/>
    <x v="4"/>
    <x v="7"/>
    <n v="2500"/>
    <n v="7500"/>
    <n v="4469.24"/>
    <n v="3030.76"/>
    <s v="Amina"/>
  </r>
  <r>
    <n v="1723"/>
    <d v="2025-07-15T00:00:00"/>
    <x v="0"/>
    <x v="0"/>
    <x v="8"/>
    <x v="8"/>
    <n v="2500"/>
    <n v="10000"/>
    <n v="7012.77"/>
    <n v="2987.23"/>
    <s v="Brian"/>
  </r>
  <r>
    <n v="1724"/>
    <d v="2025-08-04T00:00:00"/>
    <x v="3"/>
    <x v="0"/>
    <x v="0"/>
    <x v="9"/>
    <n v="12000"/>
    <n v="96000"/>
    <n v="53127.34"/>
    <n v="42872.66"/>
    <s v="Brian"/>
  </r>
  <r>
    <n v="1725"/>
    <d v="2025-09-07T00:00:00"/>
    <x v="4"/>
    <x v="0"/>
    <x v="7"/>
    <x v="1"/>
    <n v="5000"/>
    <n v="45000"/>
    <n v="29722.7"/>
    <n v="15277.3"/>
    <s v="Faith"/>
  </r>
  <r>
    <n v="1726"/>
    <d v="2025-03-25T00:00:00"/>
    <x v="1"/>
    <x v="0"/>
    <x v="7"/>
    <x v="0"/>
    <n v="1200"/>
    <n v="1200"/>
    <n v="701.57"/>
    <n v="498.43"/>
    <s v="Brian"/>
  </r>
  <r>
    <n v="1727"/>
    <d v="2025-05-14T00:00:00"/>
    <x v="4"/>
    <x v="2"/>
    <x v="4"/>
    <x v="5"/>
    <n v="1200"/>
    <n v="2400"/>
    <n v="1945.46"/>
    <n v="454.54"/>
    <s v="Faith"/>
  </r>
  <r>
    <n v="1728"/>
    <d v="2025-03-04T00:00:00"/>
    <x v="4"/>
    <x v="0"/>
    <x v="7"/>
    <x v="3"/>
    <n v="500"/>
    <n v="2500"/>
    <n v="1392.36"/>
    <n v="1107.6400000000001"/>
    <s v="Peter"/>
  </r>
  <r>
    <n v="1729"/>
    <d v="2025-10-03T00:00:00"/>
    <x v="0"/>
    <x v="0"/>
    <x v="0"/>
    <x v="2"/>
    <n v="2500"/>
    <n v="25000"/>
    <n v="19436.32"/>
    <n v="5563.68"/>
    <s v="Faith"/>
  </r>
  <r>
    <n v="1730"/>
    <d v="2025-08-17T00:00:00"/>
    <x v="1"/>
    <x v="2"/>
    <x v="4"/>
    <x v="1"/>
    <n v="1200"/>
    <n v="10800"/>
    <n v="8868.5300000000007"/>
    <n v="1931.47"/>
    <s v="James"/>
  </r>
  <r>
    <n v="1731"/>
    <d v="2025-03-27T00:00:00"/>
    <x v="4"/>
    <x v="0"/>
    <x v="8"/>
    <x v="9"/>
    <n v="5000"/>
    <n v="40000"/>
    <n v="35392.32"/>
    <n v="4607.68"/>
    <s v="James"/>
  </r>
  <r>
    <n v="1732"/>
    <d v="2025-02-06T00:00:00"/>
    <x v="1"/>
    <x v="0"/>
    <x v="7"/>
    <x v="2"/>
    <n v="1200"/>
    <n v="12000"/>
    <n v="10165.379999999999"/>
    <n v="1834.62"/>
    <s v="Brian"/>
  </r>
  <r>
    <n v="1733"/>
    <d v="2025-12-30T00:00:00"/>
    <x v="4"/>
    <x v="2"/>
    <x v="5"/>
    <x v="4"/>
    <n v="500"/>
    <n v="3000"/>
    <n v="2335.66"/>
    <n v="664.34"/>
    <s v="Lilian"/>
  </r>
  <r>
    <n v="1734"/>
    <d v="2025-07-05T00:00:00"/>
    <x v="2"/>
    <x v="0"/>
    <x v="8"/>
    <x v="3"/>
    <n v="1200"/>
    <n v="6000"/>
    <n v="4940.05"/>
    <n v="1059.95"/>
    <s v="Lilian"/>
  </r>
  <r>
    <n v="1735"/>
    <d v="2025-03-06T00:00:00"/>
    <x v="0"/>
    <x v="2"/>
    <x v="4"/>
    <x v="7"/>
    <n v="250"/>
    <n v="750"/>
    <n v="636.73"/>
    <n v="113.27"/>
    <s v="Peter"/>
  </r>
  <r>
    <n v="1736"/>
    <d v="2025-02-22T00:00:00"/>
    <x v="1"/>
    <x v="2"/>
    <x v="6"/>
    <x v="5"/>
    <n v="250"/>
    <n v="500"/>
    <n v="304.20999999999998"/>
    <n v="195.79"/>
    <s v="Amina"/>
  </r>
  <r>
    <n v="1737"/>
    <d v="2025-09-26T00:00:00"/>
    <x v="1"/>
    <x v="2"/>
    <x v="6"/>
    <x v="0"/>
    <n v="150"/>
    <n v="150"/>
    <n v="122.97"/>
    <n v="27.03"/>
    <s v="Amina"/>
  </r>
  <r>
    <n v="1738"/>
    <d v="2025-07-19T00:00:00"/>
    <x v="4"/>
    <x v="2"/>
    <x v="6"/>
    <x v="7"/>
    <n v="150"/>
    <n v="450"/>
    <n v="350.64"/>
    <n v="99.36"/>
    <s v="Brian"/>
  </r>
  <r>
    <n v="1739"/>
    <d v="2025-03-09T00:00:00"/>
    <x v="2"/>
    <x v="1"/>
    <x v="1"/>
    <x v="3"/>
    <n v="1200"/>
    <n v="6000"/>
    <n v="4615.6099999999997"/>
    <n v="1384.39"/>
    <s v="Brian"/>
  </r>
  <r>
    <n v="1740"/>
    <d v="2025-09-01T00:00:00"/>
    <x v="3"/>
    <x v="1"/>
    <x v="2"/>
    <x v="4"/>
    <n v="12000"/>
    <n v="72000"/>
    <n v="62664.86"/>
    <n v="9335.14"/>
    <s v="Lilian"/>
  </r>
  <r>
    <n v="1741"/>
    <d v="2025-12-24T00:00:00"/>
    <x v="2"/>
    <x v="2"/>
    <x v="6"/>
    <x v="9"/>
    <n v="250"/>
    <n v="2000"/>
    <n v="1778.68"/>
    <n v="221.32"/>
    <s v="Brian"/>
  </r>
  <r>
    <n v="1742"/>
    <d v="2025-10-16T00:00:00"/>
    <x v="3"/>
    <x v="0"/>
    <x v="7"/>
    <x v="9"/>
    <n v="5000"/>
    <n v="40000"/>
    <n v="32484.76"/>
    <n v="7515.24"/>
    <s v="Lilian"/>
  </r>
  <r>
    <n v="1743"/>
    <d v="2025-09-04T00:00:00"/>
    <x v="2"/>
    <x v="0"/>
    <x v="7"/>
    <x v="1"/>
    <n v="500"/>
    <n v="4500"/>
    <n v="3906.55"/>
    <n v="593.45000000000005"/>
    <s v="Brian"/>
  </r>
  <r>
    <n v="1744"/>
    <d v="2025-03-21T00:00:00"/>
    <x v="4"/>
    <x v="1"/>
    <x v="3"/>
    <x v="3"/>
    <n v="500"/>
    <n v="2500"/>
    <n v="1735.68"/>
    <n v="764.32"/>
    <s v="Amina"/>
  </r>
  <r>
    <n v="1745"/>
    <d v="2025-10-01T00:00:00"/>
    <x v="1"/>
    <x v="1"/>
    <x v="1"/>
    <x v="7"/>
    <n v="500"/>
    <n v="1500"/>
    <n v="975.55"/>
    <n v="524.45000000000005"/>
    <s v="Peter"/>
  </r>
  <r>
    <n v="1746"/>
    <d v="2025-05-30T00:00:00"/>
    <x v="2"/>
    <x v="2"/>
    <x v="4"/>
    <x v="3"/>
    <n v="150"/>
    <n v="750"/>
    <n v="613.54"/>
    <n v="136.46"/>
    <s v="Brian"/>
  </r>
  <r>
    <n v="1747"/>
    <d v="2025-10-15T00:00:00"/>
    <x v="3"/>
    <x v="1"/>
    <x v="1"/>
    <x v="4"/>
    <n v="250"/>
    <n v="1500"/>
    <n v="1041.1600000000001"/>
    <n v="458.84"/>
    <s v="James"/>
  </r>
  <r>
    <n v="1748"/>
    <d v="2025-05-15T00:00:00"/>
    <x v="1"/>
    <x v="1"/>
    <x v="2"/>
    <x v="6"/>
    <n v="12000"/>
    <n v="84000"/>
    <n v="57323.73"/>
    <n v="26676.27"/>
    <s v="James"/>
  </r>
  <r>
    <n v="1749"/>
    <d v="2025-11-10T00:00:00"/>
    <x v="4"/>
    <x v="0"/>
    <x v="0"/>
    <x v="1"/>
    <n v="12000"/>
    <n v="108000"/>
    <n v="89638.45"/>
    <n v="18361.55"/>
    <s v="Faith"/>
  </r>
  <r>
    <n v="1750"/>
    <d v="2025-04-07T00:00:00"/>
    <x v="1"/>
    <x v="0"/>
    <x v="7"/>
    <x v="1"/>
    <n v="12000"/>
    <n v="108000"/>
    <n v="69561.47"/>
    <n v="38438.53"/>
    <s v="Brian"/>
  </r>
  <r>
    <n v="1751"/>
    <d v="2025-08-20T00:00:00"/>
    <x v="4"/>
    <x v="1"/>
    <x v="3"/>
    <x v="5"/>
    <n v="5000"/>
    <n v="10000"/>
    <n v="7093.7"/>
    <n v="2906.3"/>
    <s v="Peter"/>
  </r>
  <r>
    <n v="1752"/>
    <d v="2025-01-26T00:00:00"/>
    <x v="2"/>
    <x v="0"/>
    <x v="8"/>
    <x v="8"/>
    <n v="500"/>
    <n v="2000"/>
    <n v="1113.58"/>
    <n v="886.42"/>
    <s v="Amina"/>
  </r>
  <r>
    <n v="1753"/>
    <d v="2025-08-13T00:00:00"/>
    <x v="1"/>
    <x v="1"/>
    <x v="2"/>
    <x v="3"/>
    <n v="500"/>
    <n v="2500"/>
    <n v="1484.41"/>
    <n v="1015.59"/>
    <s v="Brian"/>
  </r>
  <r>
    <n v="1754"/>
    <d v="2025-08-04T00:00:00"/>
    <x v="4"/>
    <x v="1"/>
    <x v="2"/>
    <x v="0"/>
    <n v="1200"/>
    <n v="1200"/>
    <n v="751.22"/>
    <n v="448.78"/>
    <s v="James"/>
  </r>
  <r>
    <n v="1755"/>
    <d v="2025-03-16T00:00:00"/>
    <x v="1"/>
    <x v="2"/>
    <x v="4"/>
    <x v="0"/>
    <n v="500"/>
    <n v="500"/>
    <n v="289.04000000000002"/>
    <n v="210.96"/>
    <s v="Faith"/>
  </r>
  <r>
    <n v="1756"/>
    <d v="2025-05-09T00:00:00"/>
    <x v="3"/>
    <x v="2"/>
    <x v="5"/>
    <x v="1"/>
    <n v="1200"/>
    <n v="10800"/>
    <n v="6626.46"/>
    <n v="4173.54"/>
    <s v="Amina"/>
  </r>
  <r>
    <n v="1757"/>
    <d v="2025-08-15T00:00:00"/>
    <x v="0"/>
    <x v="1"/>
    <x v="1"/>
    <x v="8"/>
    <n v="1200"/>
    <n v="4800"/>
    <n v="3935.66"/>
    <n v="864.34"/>
    <s v="Peter"/>
  </r>
  <r>
    <n v="1758"/>
    <d v="2025-09-24T00:00:00"/>
    <x v="0"/>
    <x v="1"/>
    <x v="2"/>
    <x v="9"/>
    <n v="5000"/>
    <n v="40000"/>
    <n v="32793.94"/>
    <n v="7206.06"/>
    <s v="James"/>
  </r>
  <r>
    <n v="1759"/>
    <d v="2025-01-22T00:00:00"/>
    <x v="2"/>
    <x v="2"/>
    <x v="6"/>
    <x v="3"/>
    <n v="500"/>
    <n v="2500"/>
    <n v="1513.79"/>
    <n v="986.21"/>
    <s v="Lilian"/>
  </r>
  <r>
    <n v="1760"/>
    <d v="2025-07-04T00:00:00"/>
    <x v="1"/>
    <x v="1"/>
    <x v="3"/>
    <x v="9"/>
    <n v="5000"/>
    <n v="40000"/>
    <n v="26183.38"/>
    <n v="13816.62"/>
    <s v="Peter"/>
  </r>
  <r>
    <n v="1761"/>
    <d v="2025-01-08T00:00:00"/>
    <x v="0"/>
    <x v="1"/>
    <x v="2"/>
    <x v="8"/>
    <n v="5000"/>
    <n v="20000"/>
    <n v="14039.13"/>
    <n v="5960.87"/>
    <s v="Faith"/>
  </r>
  <r>
    <n v="1762"/>
    <d v="2025-01-22T00:00:00"/>
    <x v="2"/>
    <x v="0"/>
    <x v="0"/>
    <x v="6"/>
    <n v="12000"/>
    <n v="84000"/>
    <n v="53346.83"/>
    <n v="30653.17"/>
    <s v="Peter"/>
  </r>
  <r>
    <n v="1763"/>
    <d v="2025-02-15T00:00:00"/>
    <x v="0"/>
    <x v="2"/>
    <x v="6"/>
    <x v="2"/>
    <n v="250"/>
    <n v="2500"/>
    <n v="1699.97"/>
    <n v="800.03"/>
    <s v="Brian"/>
  </r>
  <r>
    <n v="1764"/>
    <d v="2025-11-17T00:00:00"/>
    <x v="1"/>
    <x v="2"/>
    <x v="5"/>
    <x v="2"/>
    <n v="500"/>
    <n v="5000"/>
    <n v="4378.99"/>
    <n v="621.01"/>
    <s v="Amina"/>
  </r>
  <r>
    <n v="1765"/>
    <d v="2025-02-24T00:00:00"/>
    <x v="0"/>
    <x v="2"/>
    <x v="6"/>
    <x v="7"/>
    <n v="5000"/>
    <n v="15000"/>
    <n v="11065.85"/>
    <n v="3934.15"/>
    <s v="James"/>
  </r>
  <r>
    <n v="1766"/>
    <d v="2025-06-27T00:00:00"/>
    <x v="3"/>
    <x v="1"/>
    <x v="3"/>
    <x v="1"/>
    <n v="12000"/>
    <n v="108000"/>
    <n v="83767.62"/>
    <n v="24232.38"/>
    <s v="Peter"/>
  </r>
  <r>
    <n v="1767"/>
    <d v="2025-05-09T00:00:00"/>
    <x v="1"/>
    <x v="1"/>
    <x v="2"/>
    <x v="6"/>
    <n v="500"/>
    <n v="3500"/>
    <n v="2812.39"/>
    <n v="687.61"/>
    <s v="James"/>
  </r>
  <r>
    <n v="1768"/>
    <d v="2025-09-08T00:00:00"/>
    <x v="0"/>
    <x v="0"/>
    <x v="8"/>
    <x v="1"/>
    <n v="500"/>
    <n v="4500"/>
    <n v="3329.81"/>
    <n v="1170.19"/>
    <s v="Lilian"/>
  </r>
  <r>
    <n v="1769"/>
    <d v="2025-05-21T00:00:00"/>
    <x v="2"/>
    <x v="1"/>
    <x v="1"/>
    <x v="4"/>
    <n v="500"/>
    <n v="3000"/>
    <n v="2419.02"/>
    <n v="580.98"/>
    <s v="Lilian"/>
  </r>
  <r>
    <n v="1770"/>
    <d v="2025-05-15T00:00:00"/>
    <x v="2"/>
    <x v="1"/>
    <x v="2"/>
    <x v="1"/>
    <n v="250"/>
    <n v="2250"/>
    <n v="1591.39"/>
    <n v="658.61"/>
    <s v="Faith"/>
  </r>
  <r>
    <n v="1771"/>
    <d v="2025-01-10T00:00:00"/>
    <x v="2"/>
    <x v="2"/>
    <x v="5"/>
    <x v="1"/>
    <n v="1200"/>
    <n v="10800"/>
    <n v="8713.23"/>
    <n v="2086.77"/>
    <s v="Faith"/>
  </r>
  <r>
    <n v="1772"/>
    <d v="2025-10-03T00:00:00"/>
    <x v="3"/>
    <x v="0"/>
    <x v="0"/>
    <x v="4"/>
    <n v="5000"/>
    <n v="30000"/>
    <n v="17165.09"/>
    <n v="12834.91"/>
    <s v="Brian"/>
  </r>
  <r>
    <n v="1773"/>
    <d v="2025-11-10T00:00:00"/>
    <x v="4"/>
    <x v="0"/>
    <x v="7"/>
    <x v="9"/>
    <n v="12000"/>
    <n v="96000"/>
    <n v="71329.320000000007"/>
    <n v="24670.68"/>
    <s v="Faith"/>
  </r>
  <r>
    <n v="1774"/>
    <d v="2025-12-04T00:00:00"/>
    <x v="1"/>
    <x v="2"/>
    <x v="6"/>
    <x v="4"/>
    <n v="150"/>
    <n v="900"/>
    <n v="525.32000000000005"/>
    <n v="374.68"/>
    <s v="Amina"/>
  </r>
  <r>
    <n v="1775"/>
    <d v="2025-04-09T00:00:00"/>
    <x v="1"/>
    <x v="1"/>
    <x v="2"/>
    <x v="0"/>
    <n v="250"/>
    <n v="250"/>
    <n v="146.87"/>
    <n v="103.13"/>
    <s v="Amina"/>
  </r>
  <r>
    <n v="1776"/>
    <d v="2025-11-16T00:00:00"/>
    <x v="2"/>
    <x v="0"/>
    <x v="7"/>
    <x v="6"/>
    <n v="5000"/>
    <n v="35000"/>
    <n v="25251.39"/>
    <n v="9748.61"/>
    <s v="Faith"/>
  </r>
  <r>
    <n v="1777"/>
    <d v="2025-01-07T00:00:00"/>
    <x v="0"/>
    <x v="1"/>
    <x v="3"/>
    <x v="8"/>
    <n v="2500"/>
    <n v="10000"/>
    <n v="8012.46"/>
    <n v="1987.54"/>
    <s v="Peter"/>
  </r>
  <r>
    <n v="1778"/>
    <d v="2025-07-04T00:00:00"/>
    <x v="2"/>
    <x v="2"/>
    <x v="5"/>
    <x v="9"/>
    <n v="12000"/>
    <n v="96000"/>
    <n v="74267.600000000006"/>
    <n v="21732.400000000001"/>
    <s v="Peter"/>
  </r>
  <r>
    <n v="1779"/>
    <d v="2025-09-28T00:00:00"/>
    <x v="1"/>
    <x v="2"/>
    <x v="4"/>
    <x v="0"/>
    <n v="12000"/>
    <n v="12000"/>
    <n v="9191.1200000000008"/>
    <n v="2808.88"/>
    <s v="Peter"/>
  </r>
  <r>
    <n v="1780"/>
    <d v="2025-02-19T00:00:00"/>
    <x v="1"/>
    <x v="1"/>
    <x v="3"/>
    <x v="5"/>
    <n v="250"/>
    <n v="500"/>
    <n v="443.1"/>
    <n v="56.9"/>
    <s v="Peter"/>
  </r>
  <r>
    <n v="1781"/>
    <d v="2025-12-03T00:00:00"/>
    <x v="0"/>
    <x v="1"/>
    <x v="1"/>
    <x v="6"/>
    <n v="250"/>
    <n v="1750"/>
    <n v="1080.79"/>
    <n v="669.21"/>
    <s v="Lilian"/>
  </r>
  <r>
    <n v="1782"/>
    <d v="2025-02-24T00:00:00"/>
    <x v="2"/>
    <x v="0"/>
    <x v="0"/>
    <x v="1"/>
    <n v="5000"/>
    <n v="45000"/>
    <n v="33540.730000000003"/>
    <n v="11459.27"/>
    <s v="Faith"/>
  </r>
  <r>
    <n v="1783"/>
    <d v="2025-04-03T00:00:00"/>
    <x v="2"/>
    <x v="0"/>
    <x v="8"/>
    <x v="6"/>
    <n v="150"/>
    <n v="1050"/>
    <n v="638.79999999999995"/>
    <n v="411.2"/>
    <s v="James"/>
  </r>
  <r>
    <n v="1784"/>
    <d v="2025-08-15T00:00:00"/>
    <x v="4"/>
    <x v="0"/>
    <x v="8"/>
    <x v="7"/>
    <n v="2500"/>
    <n v="7500"/>
    <n v="6745.89"/>
    <n v="754.11"/>
    <s v="Faith"/>
  </r>
  <r>
    <n v="1785"/>
    <d v="2025-08-09T00:00:00"/>
    <x v="4"/>
    <x v="0"/>
    <x v="8"/>
    <x v="4"/>
    <n v="1200"/>
    <n v="7200"/>
    <n v="5885.74"/>
    <n v="1314.26"/>
    <s v="Lilian"/>
  </r>
  <r>
    <n v="1786"/>
    <d v="2025-10-09T00:00:00"/>
    <x v="4"/>
    <x v="1"/>
    <x v="1"/>
    <x v="1"/>
    <n v="250"/>
    <n v="2250"/>
    <n v="1532.86"/>
    <n v="717.14"/>
    <s v="Faith"/>
  </r>
  <r>
    <n v="1787"/>
    <d v="2025-05-26T00:00:00"/>
    <x v="2"/>
    <x v="2"/>
    <x v="4"/>
    <x v="6"/>
    <n v="150"/>
    <n v="1050"/>
    <n v="844.42"/>
    <n v="205.58"/>
    <s v="Amina"/>
  </r>
  <r>
    <n v="1788"/>
    <d v="2025-04-24T00:00:00"/>
    <x v="0"/>
    <x v="0"/>
    <x v="0"/>
    <x v="3"/>
    <n v="150"/>
    <n v="750"/>
    <n v="491.34"/>
    <n v="258.66000000000003"/>
    <s v="Faith"/>
  </r>
  <r>
    <n v="1789"/>
    <d v="2025-10-20T00:00:00"/>
    <x v="2"/>
    <x v="1"/>
    <x v="1"/>
    <x v="3"/>
    <n v="2500"/>
    <n v="12500"/>
    <n v="9111.81"/>
    <n v="3388.19"/>
    <s v="Brian"/>
  </r>
  <r>
    <n v="1790"/>
    <d v="2025-05-16T00:00:00"/>
    <x v="4"/>
    <x v="1"/>
    <x v="2"/>
    <x v="9"/>
    <n v="500"/>
    <n v="4000"/>
    <n v="2418.5500000000002"/>
    <n v="1581.45"/>
    <s v="Lilian"/>
  </r>
  <r>
    <n v="1791"/>
    <d v="2025-10-20T00:00:00"/>
    <x v="3"/>
    <x v="1"/>
    <x v="2"/>
    <x v="3"/>
    <n v="12000"/>
    <n v="60000"/>
    <n v="39306.35"/>
    <n v="20693.650000000001"/>
    <s v="Lilian"/>
  </r>
  <r>
    <n v="1792"/>
    <d v="2025-09-05T00:00:00"/>
    <x v="0"/>
    <x v="1"/>
    <x v="1"/>
    <x v="5"/>
    <n v="5000"/>
    <n v="10000"/>
    <n v="6636.42"/>
    <n v="3363.58"/>
    <s v="James"/>
  </r>
  <r>
    <n v="1793"/>
    <d v="2025-11-01T00:00:00"/>
    <x v="4"/>
    <x v="0"/>
    <x v="7"/>
    <x v="2"/>
    <n v="12000"/>
    <n v="120000"/>
    <n v="104121.54"/>
    <n v="15878.46"/>
    <s v="Amina"/>
  </r>
  <r>
    <n v="1794"/>
    <d v="2025-06-21T00:00:00"/>
    <x v="4"/>
    <x v="0"/>
    <x v="7"/>
    <x v="6"/>
    <n v="150"/>
    <n v="1050"/>
    <n v="864.19"/>
    <n v="185.81"/>
    <s v="James"/>
  </r>
  <r>
    <n v="1795"/>
    <d v="2025-11-05T00:00:00"/>
    <x v="1"/>
    <x v="2"/>
    <x v="5"/>
    <x v="8"/>
    <n v="5000"/>
    <n v="20000"/>
    <n v="15569.45"/>
    <n v="4430.55"/>
    <s v="Peter"/>
  </r>
  <r>
    <n v="1796"/>
    <d v="2025-06-13T00:00:00"/>
    <x v="2"/>
    <x v="0"/>
    <x v="8"/>
    <x v="0"/>
    <n v="500"/>
    <n v="500"/>
    <n v="366.77"/>
    <n v="133.22999999999999"/>
    <s v="Lilian"/>
  </r>
  <r>
    <n v="1797"/>
    <d v="2025-01-26T00:00:00"/>
    <x v="3"/>
    <x v="1"/>
    <x v="3"/>
    <x v="1"/>
    <n v="5000"/>
    <n v="45000"/>
    <n v="28227.56"/>
    <n v="16772.439999999999"/>
    <s v="James"/>
  </r>
  <r>
    <n v="1798"/>
    <d v="2025-05-29T00:00:00"/>
    <x v="3"/>
    <x v="0"/>
    <x v="7"/>
    <x v="1"/>
    <n v="150"/>
    <n v="1350"/>
    <n v="847.44"/>
    <n v="502.56"/>
    <s v="Brian"/>
  </r>
  <r>
    <n v="1799"/>
    <d v="2025-01-26T00:00:00"/>
    <x v="2"/>
    <x v="1"/>
    <x v="3"/>
    <x v="5"/>
    <n v="1200"/>
    <n v="2400"/>
    <n v="1800.01"/>
    <n v="599.99"/>
    <s v="James"/>
  </r>
  <r>
    <n v="1800"/>
    <d v="2025-12-24T00:00:00"/>
    <x v="0"/>
    <x v="2"/>
    <x v="5"/>
    <x v="6"/>
    <n v="2500"/>
    <n v="17500"/>
    <n v="12286.26"/>
    <n v="5213.74"/>
    <s v="Brian"/>
  </r>
  <r>
    <n v="1801"/>
    <d v="2025-10-20T00:00:00"/>
    <x v="0"/>
    <x v="2"/>
    <x v="6"/>
    <x v="8"/>
    <n v="1200"/>
    <n v="4800"/>
    <n v="3304.14"/>
    <n v="1495.86"/>
    <s v="Lilian"/>
  </r>
  <r>
    <n v="1802"/>
    <d v="2025-05-17T00:00:00"/>
    <x v="3"/>
    <x v="0"/>
    <x v="7"/>
    <x v="1"/>
    <n v="250"/>
    <n v="2250"/>
    <n v="1428.32"/>
    <n v="821.68"/>
    <s v="Faith"/>
  </r>
  <r>
    <n v="1803"/>
    <d v="2025-08-05T00:00:00"/>
    <x v="4"/>
    <x v="0"/>
    <x v="7"/>
    <x v="5"/>
    <n v="150"/>
    <n v="300"/>
    <n v="235.53"/>
    <n v="64.47"/>
    <s v="Faith"/>
  </r>
  <r>
    <n v="1804"/>
    <d v="2025-06-06T00:00:00"/>
    <x v="0"/>
    <x v="1"/>
    <x v="3"/>
    <x v="4"/>
    <n v="2500"/>
    <n v="15000"/>
    <n v="11690.9"/>
    <n v="3309.1"/>
    <s v="Faith"/>
  </r>
  <r>
    <n v="1805"/>
    <d v="2025-04-30T00:00:00"/>
    <x v="0"/>
    <x v="0"/>
    <x v="8"/>
    <x v="2"/>
    <n v="250"/>
    <n v="2500"/>
    <n v="1760.41"/>
    <n v="739.59"/>
    <s v="Peter"/>
  </r>
  <r>
    <n v="1806"/>
    <d v="2025-05-05T00:00:00"/>
    <x v="2"/>
    <x v="2"/>
    <x v="5"/>
    <x v="5"/>
    <n v="150"/>
    <n v="300"/>
    <n v="242.66"/>
    <n v="57.34"/>
    <s v="Brian"/>
  </r>
  <r>
    <n v="1807"/>
    <d v="2025-06-06T00:00:00"/>
    <x v="3"/>
    <x v="2"/>
    <x v="5"/>
    <x v="4"/>
    <n v="5000"/>
    <n v="30000"/>
    <n v="24944.95"/>
    <n v="5055.05"/>
    <s v="James"/>
  </r>
  <r>
    <n v="1808"/>
    <d v="2025-04-15T00:00:00"/>
    <x v="2"/>
    <x v="1"/>
    <x v="3"/>
    <x v="8"/>
    <n v="5000"/>
    <n v="20000"/>
    <n v="14766.04"/>
    <n v="5233.96"/>
    <s v="Lilian"/>
  </r>
  <r>
    <n v="1809"/>
    <d v="2025-03-14T00:00:00"/>
    <x v="1"/>
    <x v="2"/>
    <x v="6"/>
    <x v="9"/>
    <n v="2500"/>
    <n v="20000"/>
    <n v="16109.47"/>
    <n v="3890.53"/>
    <s v="James"/>
  </r>
  <r>
    <n v="1810"/>
    <d v="2025-01-31T00:00:00"/>
    <x v="4"/>
    <x v="0"/>
    <x v="7"/>
    <x v="1"/>
    <n v="150"/>
    <n v="1350"/>
    <n v="863.2"/>
    <n v="486.8"/>
    <s v="Brian"/>
  </r>
  <r>
    <n v="1811"/>
    <d v="2025-01-05T00:00:00"/>
    <x v="1"/>
    <x v="0"/>
    <x v="7"/>
    <x v="3"/>
    <n v="150"/>
    <n v="750"/>
    <n v="534.54999999999995"/>
    <n v="215.45"/>
    <s v="James"/>
  </r>
  <r>
    <n v="1812"/>
    <d v="2025-05-30T00:00:00"/>
    <x v="3"/>
    <x v="0"/>
    <x v="8"/>
    <x v="4"/>
    <n v="12000"/>
    <n v="72000"/>
    <n v="42318.86"/>
    <n v="29681.14"/>
    <s v="Brian"/>
  </r>
  <r>
    <n v="1813"/>
    <d v="2025-11-02T00:00:00"/>
    <x v="2"/>
    <x v="2"/>
    <x v="6"/>
    <x v="5"/>
    <n v="500"/>
    <n v="1000"/>
    <n v="719.63"/>
    <n v="280.37"/>
    <s v="Amina"/>
  </r>
  <r>
    <n v="1814"/>
    <d v="2025-12-31T00:00:00"/>
    <x v="1"/>
    <x v="1"/>
    <x v="2"/>
    <x v="1"/>
    <n v="1200"/>
    <n v="10800"/>
    <n v="8059.4"/>
    <n v="2740.6"/>
    <s v="Amina"/>
  </r>
  <r>
    <n v="1815"/>
    <d v="2025-03-22T00:00:00"/>
    <x v="1"/>
    <x v="1"/>
    <x v="1"/>
    <x v="3"/>
    <n v="500"/>
    <n v="2500"/>
    <n v="1803.69"/>
    <n v="696.31"/>
    <s v="Faith"/>
  </r>
  <r>
    <n v="1816"/>
    <d v="2025-09-14T00:00:00"/>
    <x v="4"/>
    <x v="0"/>
    <x v="8"/>
    <x v="4"/>
    <n v="5000"/>
    <n v="30000"/>
    <n v="19674.43"/>
    <n v="10325.57"/>
    <s v="Amina"/>
  </r>
  <r>
    <n v="1817"/>
    <d v="2025-10-12T00:00:00"/>
    <x v="4"/>
    <x v="0"/>
    <x v="8"/>
    <x v="6"/>
    <n v="12000"/>
    <n v="84000"/>
    <n v="75316.63"/>
    <n v="8683.3700000000008"/>
    <s v="Brian"/>
  </r>
  <r>
    <n v="1818"/>
    <d v="2025-07-15T00:00:00"/>
    <x v="2"/>
    <x v="1"/>
    <x v="3"/>
    <x v="6"/>
    <n v="5000"/>
    <n v="35000"/>
    <n v="20931.439999999999"/>
    <n v="14068.56"/>
    <s v="Peter"/>
  </r>
  <r>
    <n v="1819"/>
    <d v="2025-03-20T00:00:00"/>
    <x v="3"/>
    <x v="0"/>
    <x v="7"/>
    <x v="8"/>
    <n v="1200"/>
    <n v="4800"/>
    <n v="3043.81"/>
    <n v="1756.19"/>
    <s v="Faith"/>
  </r>
  <r>
    <n v="1820"/>
    <d v="2025-12-01T00:00:00"/>
    <x v="0"/>
    <x v="0"/>
    <x v="8"/>
    <x v="9"/>
    <n v="2500"/>
    <n v="20000"/>
    <n v="11922.4"/>
    <n v="8077.6"/>
    <s v="Lilian"/>
  </r>
  <r>
    <n v="1821"/>
    <d v="2025-12-19T00:00:00"/>
    <x v="2"/>
    <x v="0"/>
    <x v="7"/>
    <x v="8"/>
    <n v="12000"/>
    <n v="48000"/>
    <n v="28720.240000000002"/>
    <n v="19279.759999999998"/>
    <s v="Brian"/>
  </r>
  <r>
    <n v="1822"/>
    <d v="2025-10-13T00:00:00"/>
    <x v="2"/>
    <x v="2"/>
    <x v="5"/>
    <x v="2"/>
    <n v="250"/>
    <n v="2500"/>
    <n v="1652.81"/>
    <n v="847.19"/>
    <s v="Peter"/>
  </r>
  <r>
    <n v="1823"/>
    <d v="2025-01-16T00:00:00"/>
    <x v="4"/>
    <x v="1"/>
    <x v="2"/>
    <x v="4"/>
    <n v="12000"/>
    <n v="72000"/>
    <n v="61766.879999999997"/>
    <n v="10233.120000000001"/>
    <s v="James"/>
  </r>
  <r>
    <n v="1824"/>
    <d v="2025-11-23T00:00:00"/>
    <x v="4"/>
    <x v="2"/>
    <x v="4"/>
    <x v="9"/>
    <n v="5000"/>
    <n v="40000"/>
    <n v="35072.76"/>
    <n v="4927.24"/>
    <s v="Brian"/>
  </r>
  <r>
    <n v="1825"/>
    <d v="2025-11-10T00:00:00"/>
    <x v="2"/>
    <x v="1"/>
    <x v="2"/>
    <x v="7"/>
    <n v="250"/>
    <n v="750"/>
    <n v="419.38"/>
    <n v="330.62"/>
    <s v="Faith"/>
  </r>
  <r>
    <n v="1826"/>
    <d v="2025-04-29T00:00:00"/>
    <x v="1"/>
    <x v="0"/>
    <x v="7"/>
    <x v="2"/>
    <n v="250"/>
    <n v="2500"/>
    <n v="1896.82"/>
    <n v="603.17999999999995"/>
    <s v="Faith"/>
  </r>
  <r>
    <n v="1827"/>
    <d v="2025-11-06T00:00:00"/>
    <x v="3"/>
    <x v="1"/>
    <x v="1"/>
    <x v="9"/>
    <n v="250"/>
    <n v="2000"/>
    <n v="1451.63"/>
    <n v="548.37"/>
    <s v="Peter"/>
  </r>
  <r>
    <n v="1828"/>
    <d v="2025-08-31T00:00:00"/>
    <x v="0"/>
    <x v="0"/>
    <x v="8"/>
    <x v="7"/>
    <n v="12000"/>
    <n v="36000"/>
    <n v="24682"/>
    <n v="11318"/>
    <s v="Brian"/>
  </r>
  <r>
    <n v="1829"/>
    <d v="2025-01-08T00:00:00"/>
    <x v="4"/>
    <x v="1"/>
    <x v="2"/>
    <x v="0"/>
    <n v="1200"/>
    <n v="1200"/>
    <n v="981.11"/>
    <n v="218.89"/>
    <s v="James"/>
  </r>
  <r>
    <n v="1830"/>
    <d v="2025-04-01T00:00:00"/>
    <x v="3"/>
    <x v="1"/>
    <x v="1"/>
    <x v="8"/>
    <n v="12000"/>
    <n v="48000"/>
    <n v="29836.639999999999"/>
    <n v="18163.36"/>
    <s v="Lilian"/>
  </r>
  <r>
    <n v="1831"/>
    <d v="2025-05-07T00:00:00"/>
    <x v="3"/>
    <x v="2"/>
    <x v="6"/>
    <x v="4"/>
    <n v="12000"/>
    <n v="72000"/>
    <n v="51130.13"/>
    <n v="20869.87"/>
    <s v="James"/>
  </r>
  <r>
    <n v="1832"/>
    <d v="2025-11-10T00:00:00"/>
    <x v="2"/>
    <x v="1"/>
    <x v="1"/>
    <x v="6"/>
    <n v="5000"/>
    <n v="35000"/>
    <n v="23082.99"/>
    <n v="11917.01"/>
    <s v="Lilian"/>
  </r>
  <r>
    <n v="1833"/>
    <d v="2025-08-22T00:00:00"/>
    <x v="1"/>
    <x v="0"/>
    <x v="7"/>
    <x v="0"/>
    <n v="2500"/>
    <n v="2500"/>
    <n v="1470.65"/>
    <n v="1029.3499999999999"/>
    <s v="Brian"/>
  </r>
  <r>
    <n v="1834"/>
    <d v="2025-07-18T00:00:00"/>
    <x v="2"/>
    <x v="0"/>
    <x v="7"/>
    <x v="6"/>
    <n v="5000"/>
    <n v="35000"/>
    <n v="19730.830000000002"/>
    <n v="15269.17"/>
    <s v="Peter"/>
  </r>
  <r>
    <n v="1835"/>
    <d v="2025-06-05T00:00:00"/>
    <x v="4"/>
    <x v="1"/>
    <x v="2"/>
    <x v="3"/>
    <n v="1200"/>
    <n v="6000"/>
    <n v="4135.88"/>
    <n v="1864.12"/>
    <s v="James"/>
  </r>
  <r>
    <n v="1836"/>
    <d v="2025-12-20T00:00:00"/>
    <x v="2"/>
    <x v="1"/>
    <x v="3"/>
    <x v="3"/>
    <n v="2500"/>
    <n v="12500"/>
    <n v="10895.77"/>
    <n v="1604.23"/>
    <s v="Brian"/>
  </r>
  <r>
    <n v="1837"/>
    <d v="2025-02-27T00:00:00"/>
    <x v="0"/>
    <x v="2"/>
    <x v="6"/>
    <x v="9"/>
    <n v="150"/>
    <n v="1200"/>
    <n v="963.51"/>
    <n v="236.49"/>
    <s v="Lilian"/>
  </r>
  <r>
    <n v="1838"/>
    <d v="2025-08-19T00:00:00"/>
    <x v="1"/>
    <x v="0"/>
    <x v="7"/>
    <x v="7"/>
    <n v="1200"/>
    <n v="3600"/>
    <n v="2501.08"/>
    <n v="1098.92"/>
    <s v="Brian"/>
  </r>
  <r>
    <n v="1839"/>
    <d v="2025-06-15T00:00:00"/>
    <x v="0"/>
    <x v="2"/>
    <x v="6"/>
    <x v="8"/>
    <n v="1200"/>
    <n v="4800"/>
    <n v="2791.5"/>
    <n v="2008.5"/>
    <s v="Peter"/>
  </r>
  <r>
    <n v="1840"/>
    <d v="2025-11-21T00:00:00"/>
    <x v="4"/>
    <x v="0"/>
    <x v="0"/>
    <x v="5"/>
    <n v="150"/>
    <n v="300"/>
    <n v="239.15"/>
    <n v="60.85"/>
    <s v="Amina"/>
  </r>
  <r>
    <n v="1841"/>
    <d v="2025-09-19T00:00:00"/>
    <x v="2"/>
    <x v="0"/>
    <x v="7"/>
    <x v="6"/>
    <n v="5000"/>
    <n v="35000"/>
    <n v="28940.57"/>
    <n v="6059.43"/>
    <s v="Brian"/>
  </r>
  <r>
    <n v="1842"/>
    <d v="2025-06-21T00:00:00"/>
    <x v="2"/>
    <x v="2"/>
    <x v="6"/>
    <x v="6"/>
    <n v="150"/>
    <n v="1050"/>
    <n v="859.84"/>
    <n v="190.16"/>
    <s v="Peter"/>
  </r>
  <r>
    <n v="1843"/>
    <d v="2025-01-27T00:00:00"/>
    <x v="3"/>
    <x v="1"/>
    <x v="2"/>
    <x v="7"/>
    <n v="250"/>
    <n v="750"/>
    <n v="614.4"/>
    <n v="135.6"/>
    <s v="Faith"/>
  </r>
  <r>
    <n v="1844"/>
    <d v="2025-03-02T00:00:00"/>
    <x v="0"/>
    <x v="2"/>
    <x v="6"/>
    <x v="9"/>
    <n v="500"/>
    <n v="4000"/>
    <n v="3077.03"/>
    <n v="922.97"/>
    <s v="Brian"/>
  </r>
  <r>
    <n v="1845"/>
    <d v="2025-09-13T00:00:00"/>
    <x v="2"/>
    <x v="1"/>
    <x v="1"/>
    <x v="3"/>
    <n v="150"/>
    <n v="750"/>
    <n v="532.89"/>
    <n v="217.11"/>
    <s v="Amina"/>
  </r>
  <r>
    <n v="1846"/>
    <d v="2025-09-01T00:00:00"/>
    <x v="3"/>
    <x v="0"/>
    <x v="8"/>
    <x v="8"/>
    <n v="250"/>
    <n v="1000"/>
    <n v="756.1"/>
    <n v="243.9"/>
    <s v="James"/>
  </r>
  <r>
    <n v="1847"/>
    <d v="2025-10-08T00:00:00"/>
    <x v="4"/>
    <x v="2"/>
    <x v="5"/>
    <x v="2"/>
    <n v="2500"/>
    <n v="25000"/>
    <n v="13807.51"/>
    <n v="11192.49"/>
    <s v="Lilian"/>
  </r>
  <r>
    <n v="1848"/>
    <d v="2025-01-29T00:00:00"/>
    <x v="4"/>
    <x v="0"/>
    <x v="7"/>
    <x v="8"/>
    <n v="150"/>
    <n v="600"/>
    <n v="368.82"/>
    <n v="231.18"/>
    <s v="Amina"/>
  </r>
  <r>
    <n v="1849"/>
    <d v="2025-06-19T00:00:00"/>
    <x v="1"/>
    <x v="1"/>
    <x v="2"/>
    <x v="2"/>
    <n v="12000"/>
    <n v="120000"/>
    <n v="91337.99"/>
    <n v="28662.01"/>
    <s v="Amina"/>
  </r>
  <r>
    <n v="1850"/>
    <d v="2025-11-09T00:00:00"/>
    <x v="2"/>
    <x v="1"/>
    <x v="3"/>
    <x v="7"/>
    <n v="250"/>
    <n v="750"/>
    <n v="588.91999999999996"/>
    <n v="161.08000000000001"/>
    <s v="Lilian"/>
  </r>
  <r>
    <n v="1851"/>
    <d v="2025-01-19T00:00:00"/>
    <x v="1"/>
    <x v="0"/>
    <x v="0"/>
    <x v="9"/>
    <n v="5000"/>
    <n v="40000"/>
    <n v="30105.53"/>
    <n v="9894.4699999999993"/>
    <s v="Faith"/>
  </r>
  <r>
    <n v="1852"/>
    <d v="2025-08-07T00:00:00"/>
    <x v="2"/>
    <x v="2"/>
    <x v="4"/>
    <x v="6"/>
    <n v="12000"/>
    <n v="84000"/>
    <n v="48189.4"/>
    <n v="35810.6"/>
    <s v="Amina"/>
  </r>
  <r>
    <n v="1853"/>
    <d v="2025-05-21T00:00:00"/>
    <x v="4"/>
    <x v="2"/>
    <x v="4"/>
    <x v="7"/>
    <n v="150"/>
    <n v="450"/>
    <n v="356.9"/>
    <n v="93.1"/>
    <s v="Lilian"/>
  </r>
  <r>
    <n v="1854"/>
    <d v="2025-01-30T00:00:00"/>
    <x v="1"/>
    <x v="2"/>
    <x v="6"/>
    <x v="8"/>
    <n v="5000"/>
    <n v="20000"/>
    <n v="12463.36"/>
    <n v="7536.64"/>
    <s v="Lilian"/>
  </r>
  <r>
    <n v="1855"/>
    <d v="2025-12-19T00:00:00"/>
    <x v="2"/>
    <x v="0"/>
    <x v="7"/>
    <x v="1"/>
    <n v="150"/>
    <n v="1350"/>
    <n v="971.03"/>
    <n v="378.97"/>
    <s v="Peter"/>
  </r>
  <r>
    <n v="1856"/>
    <d v="2025-09-27T00:00:00"/>
    <x v="2"/>
    <x v="2"/>
    <x v="4"/>
    <x v="2"/>
    <n v="12000"/>
    <n v="120000"/>
    <n v="79292.52"/>
    <n v="40707.480000000003"/>
    <s v="Lilian"/>
  </r>
  <r>
    <n v="1857"/>
    <d v="2025-11-20T00:00:00"/>
    <x v="3"/>
    <x v="2"/>
    <x v="5"/>
    <x v="2"/>
    <n v="2500"/>
    <n v="25000"/>
    <n v="18093.47"/>
    <n v="6906.53"/>
    <s v="James"/>
  </r>
  <r>
    <n v="1858"/>
    <d v="2025-04-10T00:00:00"/>
    <x v="1"/>
    <x v="1"/>
    <x v="1"/>
    <x v="8"/>
    <n v="5000"/>
    <n v="20000"/>
    <n v="13033.42"/>
    <n v="6966.58"/>
    <s v="Amina"/>
  </r>
  <r>
    <n v="1859"/>
    <d v="2025-11-12T00:00:00"/>
    <x v="3"/>
    <x v="1"/>
    <x v="3"/>
    <x v="5"/>
    <n v="5000"/>
    <n v="10000"/>
    <n v="8468.24"/>
    <n v="1531.76"/>
    <s v="James"/>
  </r>
  <r>
    <n v="1860"/>
    <d v="2025-04-19T00:00:00"/>
    <x v="1"/>
    <x v="1"/>
    <x v="3"/>
    <x v="4"/>
    <n v="2500"/>
    <n v="15000"/>
    <n v="12481.73"/>
    <n v="2518.27"/>
    <s v="Peter"/>
  </r>
  <r>
    <n v="1861"/>
    <d v="2025-06-07T00:00:00"/>
    <x v="4"/>
    <x v="1"/>
    <x v="1"/>
    <x v="3"/>
    <n v="500"/>
    <n v="2500"/>
    <n v="2066.42"/>
    <n v="433.58"/>
    <s v="Lilian"/>
  </r>
  <r>
    <n v="1862"/>
    <d v="2025-06-24T00:00:00"/>
    <x v="3"/>
    <x v="0"/>
    <x v="8"/>
    <x v="0"/>
    <n v="150"/>
    <n v="150"/>
    <n v="118.51"/>
    <n v="31.49"/>
    <s v="Peter"/>
  </r>
  <r>
    <n v="1863"/>
    <d v="2025-06-19T00:00:00"/>
    <x v="4"/>
    <x v="0"/>
    <x v="7"/>
    <x v="0"/>
    <n v="12000"/>
    <n v="12000"/>
    <n v="7337.64"/>
    <n v="4662.3599999999997"/>
    <s v="Peter"/>
  </r>
  <r>
    <n v="1864"/>
    <d v="2025-03-21T00:00:00"/>
    <x v="3"/>
    <x v="2"/>
    <x v="4"/>
    <x v="0"/>
    <n v="5000"/>
    <n v="5000"/>
    <n v="2987.57"/>
    <n v="2012.43"/>
    <s v="Lilian"/>
  </r>
  <r>
    <n v="1865"/>
    <d v="2025-09-24T00:00:00"/>
    <x v="4"/>
    <x v="2"/>
    <x v="4"/>
    <x v="6"/>
    <n v="5000"/>
    <n v="35000"/>
    <n v="19936.27"/>
    <n v="15063.73"/>
    <s v="Lilian"/>
  </r>
  <r>
    <n v="1866"/>
    <d v="2025-04-17T00:00:00"/>
    <x v="2"/>
    <x v="0"/>
    <x v="7"/>
    <x v="4"/>
    <n v="2500"/>
    <n v="15000"/>
    <n v="11063.4"/>
    <n v="3936.6"/>
    <s v="Peter"/>
  </r>
  <r>
    <n v="1867"/>
    <d v="2025-01-16T00:00:00"/>
    <x v="4"/>
    <x v="2"/>
    <x v="4"/>
    <x v="5"/>
    <n v="250"/>
    <n v="500"/>
    <n v="324.08"/>
    <n v="175.92"/>
    <s v="James"/>
  </r>
  <r>
    <n v="1868"/>
    <d v="2025-04-06T00:00:00"/>
    <x v="2"/>
    <x v="0"/>
    <x v="7"/>
    <x v="7"/>
    <n v="2500"/>
    <n v="7500"/>
    <n v="5714.93"/>
    <n v="1785.07"/>
    <s v="Amina"/>
  </r>
  <r>
    <n v="1869"/>
    <d v="2025-07-31T00:00:00"/>
    <x v="1"/>
    <x v="2"/>
    <x v="6"/>
    <x v="4"/>
    <n v="5000"/>
    <n v="30000"/>
    <n v="16832.099999999999"/>
    <n v="13167.9"/>
    <s v="James"/>
  </r>
  <r>
    <n v="1870"/>
    <d v="2025-04-21T00:00:00"/>
    <x v="2"/>
    <x v="1"/>
    <x v="3"/>
    <x v="9"/>
    <n v="12000"/>
    <n v="96000"/>
    <n v="84744.42"/>
    <n v="11255.58"/>
    <s v="Faith"/>
  </r>
  <r>
    <n v="1871"/>
    <d v="2025-04-14T00:00:00"/>
    <x v="1"/>
    <x v="1"/>
    <x v="2"/>
    <x v="4"/>
    <n v="12000"/>
    <n v="72000"/>
    <n v="40542.35"/>
    <n v="31457.65"/>
    <s v="James"/>
  </r>
  <r>
    <n v="1872"/>
    <d v="2025-06-24T00:00:00"/>
    <x v="3"/>
    <x v="0"/>
    <x v="0"/>
    <x v="9"/>
    <n v="2500"/>
    <n v="20000"/>
    <n v="12078.54"/>
    <n v="7921.46"/>
    <s v="Peter"/>
  </r>
  <r>
    <n v="1873"/>
    <d v="2025-02-20T00:00:00"/>
    <x v="2"/>
    <x v="0"/>
    <x v="8"/>
    <x v="4"/>
    <n v="250"/>
    <n v="1500"/>
    <n v="1228.98"/>
    <n v="271.02"/>
    <s v="Peter"/>
  </r>
  <r>
    <n v="1874"/>
    <d v="2025-09-25T00:00:00"/>
    <x v="1"/>
    <x v="1"/>
    <x v="2"/>
    <x v="0"/>
    <n v="1200"/>
    <n v="1200"/>
    <n v="822.79"/>
    <n v="377.21"/>
    <s v="Amina"/>
  </r>
  <r>
    <n v="1875"/>
    <d v="2025-08-28T00:00:00"/>
    <x v="1"/>
    <x v="2"/>
    <x v="5"/>
    <x v="2"/>
    <n v="12000"/>
    <n v="120000"/>
    <n v="69657.19"/>
    <n v="50342.81"/>
    <s v="Amina"/>
  </r>
  <r>
    <n v="1876"/>
    <d v="2025-06-09T00:00:00"/>
    <x v="0"/>
    <x v="0"/>
    <x v="7"/>
    <x v="3"/>
    <n v="150"/>
    <n v="750"/>
    <n v="564.11"/>
    <n v="185.89"/>
    <s v="Faith"/>
  </r>
  <r>
    <n v="1877"/>
    <d v="2025-08-14T00:00:00"/>
    <x v="1"/>
    <x v="1"/>
    <x v="2"/>
    <x v="3"/>
    <n v="500"/>
    <n v="2500"/>
    <n v="1840.74"/>
    <n v="659.26"/>
    <s v="Faith"/>
  </r>
  <r>
    <n v="1878"/>
    <d v="2025-11-15T00:00:00"/>
    <x v="2"/>
    <x v="1"/>
    <x v="2"/>
    <x v="3"/>
    <n v="150"/>
    <n v="750"/>
    <n v="416.5"/>
    <n v="333.5"/>
    <s v="Lilian"/>
  </r>
  <r>
    <n v="1879"/>
    <d v="2025-05-19T00:00:00"/>
    <x v="0"/>
    <x v="1"/>
    <x v="2"/>
    <x v="1"/>
    <n v="500"/>
    <n v="4500"/>
    <n v="3340.25"/>
    <n v="1159.75"/>
    <s v="Peter"/>
  </r>
  <r>
    <n v="1880"/>
    <d v="2025-11-10T00:00:00"/>
    <x v="4"/>
    <x v="2"/>
    <x v="6"/>
    <x v="8"/>
    <n v="250"/>
    <n v="1000"/>
    <n v="574.94000000000005"/>
    <n v="425.06"/>
    <s v="Lilian"/>
  </r>
  <r>
    <n v="1881"/>
    <d v="2025-12-12T00:00:00"/>
    <x v="1"/>
    <x v="2"/>
    <x v="5"/>
    <x v="7"/>
    <n v="150"/>
    <n v="450"/>
    <n v="321.64"/>
    <n v="128.36000000000001"/>
    <s v="Amina"/>
  </r>
  <r>
    <n v="1882"/>
    <d v="2025-12-27T00:00:00"/>
    <x v="2"/>
    <x v="2"/>
    <x v="5"/>
    <x v="5"/>
    <n v="1200"/>
    <n v="2400"/>
    <n v="1649.21"/>
    <n v="750.79"/>
    <s v="Lilian"/>
  </r>
  <r>
    <n v="1883"/>
    <d v="2025-06-20T00:00:00"/>
    <x v="0"/>
    <x v="0"/>
    <x v="7"/>
    <x v="9"/>
    <n v="2500"/>
    <n v="20000"/>
    <n v="13489.37"/>
    <n v="6510.63"/>
    <s v="Peter"/>
  </r>
  <r>
    <n v="1884"/>
    <d v="2025-10-18T00:00:00"/>
    <x v="0"/>
    <x v="0"/>
    <x v="7"/>
    <x v="5"/>
    <n v="12000"/>
    <n v="24000"/>
    <n v="19621.2"/>
    <n v="4378.8"/>
    <s v="Amina"/>
  </r>
  <r>
    <n v="1885"/>
    <d v="2025-11-26T00:00:00"/>
    <x v="3"/>
    <x v="0"/>
    <x v="8"/>
    <x v="5"/>
    <n v="1200"/>
    <n v="2400"/>
    <n v="1580.73"/>
    <n v="819.27"/>
    <s v="James"/>
  </r>
  <r>
    <n v="1886"/>
    <d v="2025-05-13T00:00:00"/>
    <x v="4"/>
    <x v="1"/>
    <x v="2"/>
    <x v="7"/>
    <n v="12000"/>
    <n v="36000"/>
    <n v="31085.83"/>
    <n v="4914.17"/>
    <s v="James"/>
  </r>
  <r>
    <n v="1887"/>
    <d v="2025-06-16T00:00:00"/>
    <x v="3"/>
    <x v="1"/>
    <x v="1"/>
    <x v="4"/>
    <n v="12000"/>
    <n v="72000"/>
    <n v="61291.95"/>
    <n v="10708.05"/>
    <s v="James"/>
  </r>
  <r>
    <n v="1888"/>
    <d v="2025-08-25T00:00:00"/>
    <x v="0"/>
    <x v="1"/>
    <x v="2"/>
    <x v="9"/>
    <n v="150"/>
    <n v="1200"/>
    <n v="807.61"/>
    <n v="392.39"/>
    <s v="Faith"/>
  </r>
  <r>
    <n v="1889"/>
    <d v="2025-07-27T00:00:00"/>
    <x v="1"/>
    <x v="2"/>
    <x v="6"/>
    <x v="2"/>
    <n v="250"/>
    <n v="2500"/>
    <n v="1819.46"/>
    <n v="680.54"/>
    <s v="Faith"/>
  </r>
  <r>
    <n v="1890"/>
    <d v="2025-08-25T00:00:00"/>
    <x v="3"/>
    <x v="0"/>
    <x v="7"/>
    <x v="5"/>
    <n v="12000"/>
    <n v="24000"/>
    <n v="15737.79"/>
    <n v="8262.2099999999991"/>
    <s v="Lilian"/>
  </r>
  <r>
    <n v="1891"/>
    <d v="2025-09-04T00:00:00"/>
    <x v="3"/>
    <x v="2"/>
    <x v="5"/>
    <x v="2"/>
    <n v="250"/>
    <n v="2500"/>
    <n v="1854.46"/>
    <n v="645.54"/>
    <s v="Amina"/>
  </r>
  <r>
    <n v="1892"/>
    <d v="2025-08-11T00:00:00"/>
    <x v="2"/>
    <x v="2"/>
    <x v="5"/>
    <x v="2"/>
    <n v="1200"/>
    <n v="12000"/>
    <n v="9894.1200000000008"/>
    <n v="2105.88"/>
    <s v="Faith"/>
  </r>
  <r>
    <n v="1893"/>
    <d v="2025-02-09T00:00:00"/>
    <x v="2"/>
    <x v="0"/>
    <x v="7"/>
    <x v="8"/>
    <n v="250"/>
    <n v="1000"/>
    <n v="781.91"/>
    <n v="218.09"/>
    <s v="James"/>
  </r>
  <r>
    <n v="1894"/>
    <d v="2025-02-19T00:00:00"/>
    <x v="3"/>
    <x v="1"/>
    <x v="1"/>
    <x v="2"/>
    <n v="1200"/>
    <n v="12000"/>
    <n v="7966.59"/>
    <n v="4033.41"/>
    <s v="Brian"/>
  </r>
  <r>
    <n v="1895"/>
    <d v="2025-11-02T00:00:00"/>
    <x v="3"/>
    <x v="2"/>
    <x v="4"/>
    <x v="5"/>
    <n v="2500"/>
    <n v="5000"/>
    <n v="2940.3"/>
    <n v="2059.6999999999998"/>
    <s v="Faith"/>
  </r>
  <r>
    <n v="1896"/>
    <d v="2025-03-13T00:00:00"/>
    <x v="2"/>
    <x v="2"/>
    <x v="6"/>
    <x v="0"/>
    <n v="150"/>
    <n v="150"/>
    <n v="93.92"/>
    <n v="56.08"/>
    <s v="Peter"/>
  </r>
  <r>
    <n v="1897"/>
    <d v="2025-07-19T00:00:00"/>
    <x v="2"/>
    <x v="1"/>
    <x v="2"/>
    <x v="7"/>
    <n v="1200"/>
    <n v="3600"/>
    <n v="2649.38"/>
    <n v="950.62"/>
    <s v="Lilian"/>
  </r>
  <r>
    <n v="1898"/>
    <d v="2025-06-03T00:00:00"/>
    <x v="2"/>
    <x v="2"/>
    <x v="5"/>
    <x v="8"/>
    <n v="5000"/>
    <n v="20000"/>
    <n v="17141.98"/>
    <n v="2858.02"/>
    <s v="Peter"/>
  </r>
  <r>
    <n v="1899"/>
    <d v="2025-11-10T00:00:00"/>
    <x v="2"/>
    <x v="2"/>
    <x v="4"/>
    <x v="4"/>
    <n v="150"/>
    <n v="900"/>
    <n v="678.56"/>
    <n v="221.44"/>
    <s v="James"/>
  </r>
  <r>
    <n v="1900"/>
    <d v="2025-01-28T00:00:00"/>
    <x v="1"/>
    <x v="1"/>
    <x v="3"/>
    <x v="0"/>
    <n v="500"/>
    <n v="500"/>
    <n v="432.69"/>
    <n v="67.31"/>
    <s v="Peter"/>
  </r>
  <r>
    <n v="1901"/>
    <d v="2025-01-16T00:00:00"/>
    <x v="0"/>
    <x v="0"/>
    <x v="8"/>
    <x v="5"/>
    <n v="12000"/>
    <n v="24000"/>
    <n v="15570.56"/>
    <n v="8429.44"/>
    <s v="James"/>
  </r>
  <r>
    <n v="1902"/>
    <d v="2025-07-15T00:00:00"/>
    <x v="3"/>
    <x v="0"/>
    <x v="7"/>
    <x v="6"/>
    <n v="5000"/>
    <n v="35000"/>
    <n v="23147.06"/>
    <n v="11852.94"/>
    <s v="James"/>
  </r>
  <r>
    <n v="1903"/>
    <d v="2025-03-13T00:00:00"/>
    <x v="0"/>
    <x v="2"/>
    <x v="6"/>
    <x v="8"/>
    <n v="5000"/>
    <n v="20000"/>
    <n v="12213.87"/>
    <n v="7786.13"/>
    <s v="Lilian"/>
  </r>
  <r>
    <n v="1904"/>
    <d v="2025-12-10T00:00:00"/>
    <x v="0"/>
    <x v="2"/>
    <x v="4"/>
    <x v="6"/>
    <n v="250"/>
    <n v="1750"/>
    <n v="1139.19"/>
    <n v="610.80999999999995"/>
    <s v="Brian"/>
  </r>
  <r>
    <n v="1905"/>
    <d v="2025-09-07T00:00:00"/>
    <x v="3"/>
    <x v="1"/>
    <x v="2"/>
    <x v="0"/>
    <n v="250"/>
    <n v="250"/>
    <n v="200.62"/>
    <n v="49.38"/>
    <s v="Brian"/>
  </r>
  <r>
    <n v="1906"/>
    <d v="2025-12-23T00:00:00"/>
    <x v="2"/>
    <x v="1"/>
    <x v="2"/>
    <x v="6"/>
    <n v="12000"/>
    <n v="84000"/>
    <n v="59607.24"/>
    <n v="24392.76"/>
    <s v="James"/>
  </r>
  <r>
    <n v="1907"/>
    <d v="2025-08-19T00:00:00"/>
    <x v="3"/>
    <x v="0"/>
    <x v="0"/>
    <x v="9"/>
    <n v="2500"/>
    <n v="20000"/>
    <n v="13968.87"/>
    <n v="6031.13"/>
    <s v="Faith"/>
  </r>
  <r>
    <n v="1908"/>
    <d v="2025-09-13T00:00:00"/>
    <x v="0"/>
    <x v="1"/>
    <x v="2"/>
    <x v="6"/>
    <n v="2500"/>
    <n v="17500"/>
    <n v="9670.51"/>
    <n v="7829.49"/>
    <s v="Peter"/>
  </r>
  <r>
    <n v="1909"/>
    <d v="2025-01-18T00:00:00"/>
    <x v="1"/>
    <x v="0"/>
    <x v="8"/>
    <x v="6"/>
    <n v="2500"/>
    <n v="17500"/>
    <n v="13155.16"/>
    <n v="4344.84"/>
    <s v="Lilian"/>
  </r>
  <r>
    <n v="1910"/>
    <d v="2025-12-20T00:00:00"/>
    <x v="1"/>
    <x v="2"/>
    <x v="6"/>
    <x v="4"/>
    <n v="150"/>
    <n v="900"/>
    <n v="677.78"/>
    <n v="222.22"/>
    <s v="Brian"/>
  </r>
  <r>
    <n v="1911"/>
    <d v="2025-05-24T00:00:00"/>
    <x v="3"/>
    <x v="0"/>
    <x v="7"/>
    <x v="1"/>
    <n v="12000"/>
    <n v="108000"/>
    <n v="96582.66"/>
    <n v="11417.34"/>
    <s v="Lilian"/>
  </r>
  <r>
    <n v="1912"/>
    <d v="2025-11-19T00:00:00"/>
    <x v="1"/>
    <x v="1"/>
    <x v="1"/>
    <x v="2"/>
    <n v="150"/>
    <n v="1500"/>
    <n v="953.75"/>
    <n v="546.25"/>
    <s v="Peter"/>
  </r>
  <r>
    <n v="1913"/>
    <d v="2025-06-25T00:00:00"/>
    <x v="2"/>
    <x v="0"/>
    <x v="7"/>
    <x v="2"/>
    <n v="500"/>
    <n v="5000"/>
    <n v="3822.82"/>
    <n v="1177.18"/>
    <s v="Amina"/>
  </r>
  <r>
    <n v="1914"/>
    <d v="2025-06-19T00:00:00"/>
    <x v="3"/>
    <x v="2"/>
    <x v="4"/>
    <x v="1"/>
    <n v="1200"/>
    <n v="10800"/>
    <n v="8109.59"/>
    <n v="2690.41"/>
    <s v="Faith"/>
  </r>
  <r>
    <n v="1915"/>
    <d v="2025-11-02T00:00:00"/>
    <x v="4"/>
    <x v="2"/>
    <x v="4"/>
    <x v="7"/>
    <n v="150"/>
    <n v="450"/>
    <n v="356.97"/>
    <n v="93.03"/>
    <s v="Peter"/>
  </r>
  <r>
    <n v="1916"/>
    <d v="2025-03-28T00:00:00"/>
    <x v="2"/>
    <x v="0"/>
    <x v="8"/>
    <x v="0"/>
    <n v="5000"/>
    <n v="5000"/>
    <n v="3578.03"/>
    <n v="1421.97"/>
    <s v="Amina"/>
  </r>
  <r>
    <n v="1917"/>
    <d v="2025-02-12T00:00:00"/>
    <x v="0"/>
    <x v="0"/>
    <x v="8"/>
    <x v="2"/>
    <n v="150"/>
    <n v="1500"/>
    <n v="975.58"/>
    <n v="524.41999999999996"/>
    <s v="Lilian"/>
  </r>
  <r>
    <n v="1918"/>
    <d v="2025-05-21T00:00:00"/>
    <x v="4"/>
    <x v="1"/>
    <x v="3"/>
    <x v="3"/>
    <n v="250"/>
    <n v="1250"/>
    <n v="956.91"/>
    <n v="293.08999999999997"/>
    <s v="Amina"/>
  </r>
  <r>
    <n v="1919"/>
    <d v="2025-03-19T00:00:00"/>
    <x v="3"/>
    <x v="0"/>
    <x v="0"/>
    <x v="2"/>
    <n v="250"/>
    <n v="2500"/>
    <n v="2171.37"/>
    <n v="328.63"/>
    <s v="Faith"/>
  </r>
  <r>
    <n v="1920"/>
    <d v="2025-09-28T00:00:00"/>
    <x v="1"/>
    <x v="1"/>
    <x v="3"/>
    <x v="8"/>
    <n v="1200"/>
    <n v="4800"/>
    <n v="2943.76"/>
    <n v="1856.24"/>
    <s v="Faith"/>
  </r>
  <r>
    <n v="1921"/>
    <d v="2025-09-11T00:00:00"/>
    <x v="3"/>
    <x v="1"/>
    <x v="2"/>
    <x v="2"/>
    <n v="12000"/>
    <n v="120000"/>
    <n v="72474.31"/>
    <n v="47525.69"/>
    <s v="James"/>
  </r>
  <r>
    <n v="1922"/>
    <d v="2025-04-18T00:00:00"/>
    <x v="2"/>
    <x v="1"/>
    <x v="1"/>
    <x v="9"/>
    <n v="5000"/>
    <n v="40000"/>
    <n v="30926.05"/>
    <n v="9073.9500000000007"/>
    <s v="Peter"/>
  </r>
  <r>
    <n v="1923"/>
    <d v="2025-01-27T00:00:00"/>
    <x v="0"/>
    <x v="2"/>
    <x v="5"/>
    <x v="3"/>
    <n v="12000"/>
    <n v="60000"/>
    <n v="50210.15"/>
    <n v="9789.85"/>
    <s v="James"/>
  </r>
  <r>
    <n v="1924"/>
    <d v="2025-09-30T00:00:00"/>
    <x v="0"/>
    <x v="2"/>
    <x v="4"/>
    <x v="3"/>
    <n v="1200"/>
    <n v="6000"/>
    <n v="4866.92"/>
    <n v="1133.08"/>
    <s v="James"/>
  </r>
  <r>
    <n v="1925"/>
    <d v="2025-09-29T00:00:00"/>
    <x v="3"/>
    <x v="0"/>
    <x v="7"/>
    <x v="6"/>
    <n v="1200"/>
    <n v="8400"/>
    <n v="5392.12"/>
    <n v="3007.88"/>
    <s v="Amina"/>
  </r>
  <r>
    <n v="1926"/>
    <d v="2025-09-29T00:00:00"/>
    <x v="1"/>
    <x v="2"/>
    <x v="4"/>
    <x v="6"/>
    <n v="5000"/>
    <n v="35000"/>
    <n v="23117.19"/>
    <n v="11882.81"/>
    <s v="Amina"/>
  </r>
  <r>
    <n v="1927"/>
    <d v="2025-11-30T00:00:00"/>
    <x v="4"/>
    <x v="0"/>
    <x v="7"/>
    <x v="4"/>
    <n v="12000"/>
    <n v="72000"/>
    <n v="50481"/>
    <n v="21519"/>
    <s v="Faith"/>
  </r>
  <r>
    <n v="1928"/>
    <d v="2025-07-20T00:00:00"/>
    <x v="3"/>
    <x v="2"/>
    <x v="4"/>
    <x v="5"/>
    <n v="500"/>
    <n v="1000"/>
    <n v="779.02"/>
    <n v="220.98"/>
    <s v="Peter"/>
  </r>
  <r>
    <n v="1929"/>
    <d v="2025-06-22T00:00:00"/>
    <x v="0"/>
    <x v="0"/>
    <x v="0"/>
    <x v="2"/>
    <n v="12000"/>
    <n v="120000"/>
    <n v="74186.880000000005"/>
    <n v="45813.120000000003"/>
    <s v="Faith"/>
  </r>
  <r>
    <n v="1930"/>
    <d v="2025-07-30T00:00:00"/>
    <x v="1"/>
    <x v="0"/>
    <x v="0"/>
    <x v="0"/>
    <n v="12000"/>
    <n v="12000"/>
    <n v="6885.4"/>
    <n v="5114.6000000000004"/>
    <s v="Lilian"/>
  </r>
  <r>
    <n v="1931"/>
    <d v="2025-05-26T00:00:00"/>
    <x v="4"/>
    <x v="1"/>
    <x v="1"/>
    <x v="9"/>
    <n v="500"/>
    <n v="4000"/>
    <n v="2507.1799999999998"/>
    <n v="1492.82"/>
    <s v="Brian"/>
  </r>
  <r>
    <n v="1932"/>
    <d v="2025-11-01T00:00:00"/>
    <x v="0"/>
    <x v="1"/>
    <x v="2"/>
    <x v="2"/>
    <n v="150"/>
    <n v="1500"/>
    <n v="854.86"/>
    <n v="645.14"/>
    <s v="Lilian"/>
  </r>
  <r>
    <n v="1933"/>
    <d v="2025-03-08T00:00:00"/>
    <x v="3"/>
    <x v="0"/>
    <x v="0"/>
    <x v="5"/>
    <n v="150"/>
    <n v="300"/>
    <n v="254.93"/>
    <n v="45.07"/>
    <s v="Peter"/>
  </r>
  <r>
    <n v="1934"/>
    <d v="2025-05-10T00:00:00"/>
    <x v="4"/>
    <x v="0"/>
    <x v="7"/>
    <x v="7"/>
    <n v="150"/>
    <n v="450"/>
    <n v="357.07"/>
    <n v="92.93"/>
    <s v="James"/>
  </r>
  <r>
    <n v="1935"/>
    <d v="2025-12-21T00:00:00"/>
    <x v="4"/>
    <x v="0"/>
    <x v="0"/>
    <x v="9"/>
    <n v="500"/>
    <n v="4000"/>
    <n v="3277.1"/>
    <n v="722.9"/>
    <s v="Faith"/>
  </r>
  <r>
    <n v="1936"/>
    <d v="2025-07-18T00:00:00"/>
    <x v="4"/>
    <x v="1"/>
    <x v="2"/>
    <x v="3"/>
    <n v="12000"/>
    <n v="60000"/>
    <n v="34310.129999999997"/>
    <n v="25689.87"/>
    <s v="Amina"/>
  </r>
  <r>
    <n v="1937"/>
    <d v="2025-04-13T00:00:00"/>
    <x v="2"/>
    <x v="2"/>
    <x v="4"/>
    <x v="7"/>
    <n v="1200"/>
    <n v="3600"/>
    <n v="2067.44"/>
    <n v="1532.56"/>
    <s v="James"/>
  </r>
  <r>
    <n v="1938"/>
    <d v="2025-08-09T00:00:00"/>
    <x v="0"/>
    <x v="1"/>
    <x v="1"/>
    <x v="9"/>
    <n v="150"/>
    <n v="1200"/>
    <n v="720.43"/>
    <n v="479.57"/>
    <s v="Lilian"/>
  </r>
  <r>
    <n v="1939"/>
    <d v="2025-01-18T00:00:00"/>
    <x v="1"/>
    <x v="0"/>
    <x v="0"/>
    <x v="9"/>
    <n v="5000"/>
    <n v="40000"/>
    <n v="25625.95"/>
    <n v="14374.05"/>
    <s v="Amina"/>
  </r>
  <r>
    <n v="1940"/>
    <d v="2025-09-12T00:00:00"/>
    <x v="0"/>
    <x v="0"/>
    <x v="7"/>
    <x v="3"/>
    <n v="12000"/>
    <n v="60000"/>
    <n v="42363.519999999997"/>
    <n v="17636.48"/>
    <s v="Peter"/>
  </r>
  <r>
    <n v="1941"/>
    <d v="2025-03-19T00:00:00"/>
    <x v="4"/>
    <x v="0"/>
    <x v="0"/>
    <x v="0"/>
    <n v="5000"/>
    <n v="5000"/>
    <n v="3433.35"/>
    <n v="1566.65"/>
    <s v="James"/>
  </r>
  <r>
    <n v="1942"/>
    <d v="2025-09-09T00:00:00"/>
    <x v="3"/>
    <x v="0"/>
    <x v="0"/>
    <x v="1"/>
    <n v="5000"/>
    <n v="45000"/>
    <n v="39553.599999999999"/>
    <n v="5446.4"/>
    <s v="James"/>
  </r>
  <r>
    <n v="1943"/>
    <d v="2025-07-16T00:00:00"/>
    <x v="3"/>
    <x v="2"/>
    <x v="6"/>
    <x v="5"/>
    <n v="2500"/>
    <n v="5000"/>
    <n v="3145.23"/>
    <n v="1854.77"/>
    <s v="Amina"/>
  </r>
  <r>
    <n v="1944"/>
    <d v="2025-07-25T00:00:00"/>
    <x v="1"/>
    <x v="0"/>
    <x v="7"/>
    <x v="4"/>
    <n v="500"/>
    <n v="3000"/>
    <n v="2365.9299999999998"/>
    <n v="634.07000000000005"/>
    <s v="Peter"/>
  </r>
  <r>
    <n v="1945"/>
    <d v="2025-06-24T00:00:00"/>
    <x v="1"/>
    <x v="0"/>
    <x v="0"/>
    <x v="4"/>
    <n v="2500"/>
    <n v="15000"/>
    <n v="12730.05"/>
    <n v="2269.9499999999998"/>
    <s v="James"/>
  </r>
  <r>
    <n v="1946"/>
    <d v="2025-07-16T00:00:00"/>
    <x v="0"/>
    <x v="2"/>
    <x v="6"/>
    <x v="8"/>
    <n v="250"/>
    <n v="1000"/>
    <n v="744.07"/>
    <n v="255.93"/>
    <s v="Faith"/>
  </r>
  <r>
    <n v="1947"/>
    <d v="2025-09-07T00:00:00"/>
    <x v="1"/>
    <x v="0"/>
    <x v="8"/>
    <x v="5"/>
    <n v="5000"/>
    <n v="10000"/>
    <n v="7910.95"/>
    <n v="2089.0500000000002"/>
    <s v="Peter"/>
  </r>
  <r>
    <n v="1948"/>
    <d v="2025-01-13T00:00:00"/>
    <x v="2"/>
    <x v="2"/>
    <x v="6"/>
    <x v="8"/>
    <n v="250"/>
    <n v="1000"/>
    <n v="562.49"/>
    <n v="437.51"/>
    <s v="Brian"/>
  </r>
  <r>
    <n v="1949"/>
    <d v="2025-06-07T00:00:00"/>
    <x v="3"/>
    <x v="2"/>
    <x v="4"/>
    <x v="5"/>
    <n v="12000"/>
    <n v="24000"/>
    <n v="17740.64"/>
    <n v="6259.36"/>
    <s v="Lilian"/>
  </r>
  <r>
    <n v="1950"/>
    <d v="2025-01-22T00:00:00"/>
    <x v="3"/>
    <x v="2"/>
    <x v="5"/>
    <x v="0"/>
    <n v="500"/>
    <n v="500"/>
    <n v="284.81"/>
    <n v="215.19"/>
    <s v="Amina"/>
  </r>
  <r>
    <n v="1951"/>
    <d v="2025-10-02T00:00:00"/>
    <x v="0"/>
    <x v="1"/>
    <x v="1"/>
    <x v="1"/>
    <n v="1200"/>
    <n v="10800"/>
    <n v="9493.5400000000009"/>
    <n v="1306.46"/>
    <s v="Peter"/>
  </r>
  <r>
    <n v="1952"/>
    <d v="2025-09-08T00:00:00"/>
    <x v="1"/>
    <x v="0"/>
    <x v="0"/>
    <x v="5"/>
    <n v="150"/>
    <n v="300"/>
    <n v="242.22"/>
    <n v="57.78"/>
    <s v="James"/>
  </r>
  <r>
    <n v="1953"/>
    <d v="2025-01-08T00:00:00"/>
    <x v="0"/>
    <x v="0"/>
    <x v="0"/>
    <x v="8"/>
    <n v="5000"/>
    <n v="20000"/>
    <n v="15541.5"/>
    <n v="4458.5"/>
    <s v="Peter"/>
  </r>
  <r>
    <n v="1954"/>
    <d v="2025-10-30T00:00:00"/>
    <x v="1"/>
    <x v="1"/>
    <x v="3"/>
    <x v="5"/>
    <n v="1200"/>
    <n v="2400"/>
    <n v="1833.43"/>
    <n v="566.57000000000005"/>
    <s v="Amina"/>
  </r>
  <r>
    <n v="1955"/>
    <d v="2025-02-02T00:00:00"/>
    <x v="0"/>
    <x v="1"/>
    <x v="3"/>
    <x v="2"/>
    <n v="12000"/>
    <n v="120000"/>
    <n v="91856.4"/>
    <n v="28143.599999999999"/>
    <s v="James"/>
  </r>
  <r>
    <n v="1956"/>
    <d v="2025-12-17T00:00:00"/>
    <x v="2"/>
    <x v="2"/>
    <x v="6"/>
    <x v="6"/>
    <n v="500"/>
    <n v="3500"/>
    <n v="2072.98"/>
    <n v="1427.02"/>
    <s v="Lilian"/>
  </r>
  <r>
    <n v="1957"/>
    <d v="2025-03-30T00:00:00"/>
    <x v="4"/>
    <x v="1"/>
    <x v="3"/>
    <x v="8"/>
    <n v="12000"/>
    <n v="48000"/>
    <n v="27165.85"/>
    <n v="20834.150000000001"/>
    <s v="Amina"/>
  </r>
  <r>
    <n v="1958"/>
    <d v="2025-12-23T00:00:00"/>
    <x v="4"/>
    <x v="1"/>
    <x v="3"/>
    <x v="7"/>
    <n v="12000"/>
    <n v="36000"/>
    <n v="25030.94"/>
    <n v="10969.06"/>
    <s v="Lilian"/>
  </r>
  <r>
    <n v="1959"/>
    <d v="2025-02-21T00:00:00"/>
    <x v="2"/>
    <x v="1"/>
    <x v="3"/>
    <x v="8"/>
    <n v="2500"/>
    <n v="10000"/>
    <n v="5642.45"/>
    <n v="4357.55"/>
    <s v="James"/>
  </r>
  <r>
    <n v="1960"/>
    <d v="2025-04-02T00:00:00"/>
    <x v="1"/>
    <x v="1"/>
    <x v="2"/>
    <x v="9"/>
    <n v="150"/>
    <n v="1200"/>
    <n v="662.67"/>
    <n v="537.33000000000004"/>
    <s v="Peter"/>
  </r>
  <r>
    <n v="1961"/>
    <d v="2025-09-01T00:00:00"/>
    <x v="0"/>
    <x v="0"/>
    <x v="7"/>
    <x v="3"/>
    <n v="1200"/>
    <n v="6000"/>
    <n v="4756.3599999999997"/>
    <n v="1243.6400000000001"/>
    <s v="Brian"/>
  </r>
  <r>
    <n v="1962"/>
    <d v="2025-05-03T00:00:00"/>
    <x v="0"/>
    <x v="1"/>
    <x v="1"/>
    <x v="3"/>
    <n v="2500"/>
    <n v="12500"/>
    <n v="8845.58"/>
    <n v="3654.42"/>
    <s v="Lilian"/>
  </r>
  <r>
    <n v="1963"/>
    <d v="2025-11-10T00:00:00"/>
    <x v="1"/>
    <x v="0"/>
    <x v="0"/>
    <x v="2"/>
    <n v="250"/>
    <n v="2500"/>
    <n v="2002.55"/>
    <n v="497.45"/>
    <s v="Peter"/>
  </r>
  <r>
    <n v="1964"/>
    <d v="2025-04-09T00:00:00"/>
    <x v="1"/>
    <x v="2"/>
    <x v="4"/>
    <x v="6"/>
    <n v="150"/>
    <n v="1050"/>
    <n v="782.46"/>
    <n v="267.54000000000002"/>
    <s v="Lilian"/>
  </r>
  <r>
    <n v="1965"/>
    <d v="2025-10-04T00:00:00"/>
    <x v="2"/>
    <x v="1"/>
    <x v="1"/>
    <x v="4"/>
    <n v="12000"/>
    <n v="72000"/>
    <n v="58780.43"/>
    <n v="13219.57"/>
    <s v="Brian"/>
  </r>
  <r>
    <n v="1966"/>
    <d v="2025-02-27T00:00:00"/>
    <x v="0"/>
    <x v="2"/>
    <x v="6"/>
    <x v="8"/>
    <n v="500"/>
    <n v="2000"/>
    <n v="1137.1500000000001"/>
    <n v="862.85"/>
    <s v="Peter"/>
  </r>
  <r>
    <n v="1967"/>
    <d v="2025-01-23T00:00:00"/>
    <x v="1"/>
    <x v="2"/>
    <x v="4"/>
    <x v="7"/>
    <n v="250"/>
    <n v="750"/>
    <n v="588.41"/>
    <n v="161.59"/>
    <s v="Peter"/>
  </r>
  <r>
    <n v="1968"/>
    <d v="2025-11-12T00:00:00"/>
    <x v="3"/>
    <x v="2"/>
    <x v="4"/>
    <x v="8"/>
    <n v="1200"/>
    <n v="4800"/>
    <n v="3062.32"/>
    <n v="1737.68"/>
    <s v="Amina"/>
  </r>
  <r>
    <n v="1969"/>
    <d v="2025-01-15T00:00:00"/>
    <x v="3"/>
    <x v="1"/>
    <x v="1"/>
    <x v="0"/>
    <n v="2500"/>
    <n v="2500"/>
    <n v="1528.9"/>
    <n v="971.1"/>
    <s v="Lilian"/>
  </r>
  <r>
    <n v="1970"/>
    <d v="2025-10-24T00:00:00"/>
    <x v="4"/>
    <x v="1"/>
    <x v="2"/>
    <x v="8"/>
    <n v="5000"/>
    <n v="20000"/>
    <n v="14113.75"/>
    <n v="5886.25"/>
    <s v="James"/>
  </r>
  <r>
    <n v="1971"/>
    <d v="2025-06-16T00:00:00"/>
    <x v="0"/>
    <x v="1"/>
    <x v="1"/>
    <x v="4"/>
    <n v="250"/>
    <n v="1500"/>
    <n v="1233.96"/>
    <n v="266.04000000000002"/>
    <s v="Amina"/>
  </r>
  <r>
    <n v="1972"/>
    <d v="2025-04-23T00:00:00"/>
    <x v="1"/>
    <x v="1"/>
    <x v="1"/>
    <x v="6"/>
    <n v="12000"/>
    <n v="84000"/>
    <n v="52078.7"/>
    <n v="31921.3"/>
    <s v="James"/>
  </r>
  <r>
    <n v="1973"/>
    <d v="2025-11-09T00:00:00"/>
    <x v="3"/>
    <x v="0"/>
    <x v="8"/>
    <x v="0"/>
    <n v="1200"/>
    <n v="1200"/>
    <n v="720.88"/>
    <n v="479.12"/>
    <s v="Brian"/>
  </r>
  <r>
    <n v="1974"/>
    <d v="2025-11-20T00:00:00"/>
    <x v="4"/>
    <x v="2"/>
    <x v="4"/>
    <x v="7"/>
    <n v="1200"/>
    <n v="3600"/>
    <n v="2886.97"/>
    <n v="713.03"/>
    <s v="Faith"/>
  </r>
  <r>
    <n v="1975"/>
    <d v="2025-01-31T00:00:00"/>
    <x v="4"/>
    <x v="1"/>
    <x v="3"/>
    <x v="7"/>
    <n v="150"/>
    <n v="450"/>
    <n v="356.52"/>
    <n v="93.48"/>
    <s v="Brian"/>
  </r>
  <r>
    <n v="1976"/>
    <d v="2025-06-25T00:00:00"/>
    <x v="0"/>
    <x v="1"/>
    <x v="3"/>
    <x v="9"/>
    <n v="1200"/>
    <n v="9600"/>
    <n v="5855.24"/>
    <n v="3744.76"/>
    <s v="Faith"/>
  </r>
  <r>
    <n v="1977"/>
    <d v="2025-10-11T00:00:00"/>
    <x v="0"/>
    <x v="0"/>
    <x v="0"/>
    <x v="2"/>
    <n v="250"/>
    <n v="2500"/>
    <n v="1880.86"/>
    <n v="619.14"/>
    <s v="Amina"/>
  </r>
  <r>
    <n v="1978"/>
    <d v="2025-10-30T00:00:00"/>
    <x v="3"/>
    <x v="2"/>
    <x v="6"/>
    <x v="9"/>
    <n v="12000"/>
    <n v="96000"/>
    <n v="86254.32"/>
    <n v="9745.68"/>
    <s v="James"/>
  </r>
  <r>
    <n v="1979"/>
    <d v="2025-05-07T00:00:00"/>
    <x v="4"/>
    <x v="2"/>
    <x v="5"/>
    <x v="6"/>
    <n v="5000"/>
    <n v="35000"/>
    <n v="29939.33"/>
    <n v="5060.67"/>
    <s v="James"/>
  </r>
  <r>
    <n v="1980"/>
    <d v="2025-01-03T00:00:00"/>
    <x v="3"/>
    <x v="0"/>
    <x v="0"/>
    <x v="2"/>
    <n v="250"/>
    <n v="2500"/>
    <n v="2174.54"/>
    <n v="325.45999999999998"/>
    <s v="Amina"/>
  </r>
  <r>
    <n v="1981"/>
    <d v="2025-07-21T00:00:00"/>
    <x v="3"/>
    <x v="1"/>
    <x v="3"/>
    <x v="1"/>
    <n v="150"/>
    <n v="1350"/>
    <n v="943.64"/>
    <n v="406.36"/>
    <s v="Peter"/>
  </r>
  <r>
    <n v="1982"/>
    <d v="2025-01-07T00:00:00"/>
    <x v="3"/>
    <x v="1"/>
    <x v="3"/>
    <x v="9"/>
    <n v="250"/>
    <n v="2000"/>
    <n v="1158.1600000000001"/>
    <n v="841.84"/>
    <s v="Brian"/>
  </r>
  <r>
    <n v="1983"/>
    <d v="2025-02-16T00:00:00"/>
    <x v="1"/>
    <x v="1"/>
    <x v="3"/>
    <x v="3"/>
    <n v="250"/>
    <n v="1250"/>
    <n v="970.84"/>
    <n v="279.16000000000003"/>
    <s v="James"/>
  </r>
  <r>
    <n v="1984"/>
    <d v="2025-10-20T00:00:00"/>
    <x v="2"/>
    <x v="0"/>
    <x v="8"/>
    <x v="7"/>
    <n v="5000"/>
    <n v="15000"/>
    <n v="10661.23"/>
    <n v="4338.7700000000004"/>
    <s v="Amina"/>
  </r>
  <r>
    <n v="1985"/>
    <d v="2025-04-05T00:00:00"/>
    <x v="4"/>
    <x v="2"/>
    <x v="4"/>
    <x v="7"/>
    <n v="12000"/>
    <n v="36000"/>
    <n v="28659.5"/>
    <n v="7340.5"/>
    <s v="Peter"/>
  </r>
  <r>
    <n v="1986"/>
    <d v="2025-07-17T00:00:00"/>
    <x v="4"/>
    <x v="2"/>
    <x v="6"/>
    <x v="0"/>
    <n v="12000"/>
    <n v="12000"/>
    <n v="9234.68"/>
    <n v="2765.32"/>
    <s v="Lilian"/>
  </r>
  <r>
    <n v="1987"/>
    <d v="2025-11-10T00:00:00"/>
    <x v="2"/>
    <x v="1"/>
    <x v="3"/>
    <x v="6"/>
    <n v="12000"/>
    <n v="84000"/>
    <n v="54131.81"/>
    <n v="29868.19"/>
    <s v="Lilian"/>
  </r>
  <r>
    <n v="1988"/>
    <d v="2025-01-29T00:00:00"/>
    <x v="2"/>
    <x v="1"/>
    <x v="1"/>
    <x v="5"/>
    <n v="2500"/>
    <n v="5000"/>
    <n v="4291.4799999999996"/>
    <n v="708.52"/>
    <s v="Peter"/>
  </r>
  <r>
    <n v="1989"/>
    <d v="2025-11-13T00:00:00"/>
    <x v="1"/>
    <x v="2"/>
    <x v="5"/>
    <x v="5"/>
    <n v="1200"/>
    <n v="2400"/>
    <n v="1627.1"/>
    <n v="772.9"/>
    <s v="Faith"/>
  </r>
  <r>
    <n v="1990"/>
    <d v="2025-12-30T00:00:00"/>
    <x v="0"/>
    <x v="2"/>
    <x v="5"/>
    <x v="1"/>
    <n v="5000"/>
    <n v="45000"/>
    <n v="25805.34"/>
    <n v="19194.66"/>
    <s v="Brian"/>
  </r>
  <r>
    <n v="1991"/>
    <d v="2025-10-25T00:00:00"/>
    <x v="0"/>
    <x v="2"/>
    <x v="5"/>
    <x v="1"/>
    <n v="150"/>
    <n v="1350"/>
    <n v="1049.17"/>
    <n v="300.83"/>
    <s v="Peter"/>
  </r>
  <r>
    <n v="1992"/>
    <d v="2025-08-05T00:00:00"/>
    <x v="4"/>
    <x v="1"/>
    <x v="3"/>
    <x v="4"/>
    <n v="500"/>
    <n v="3000"/>
    <n v="2178.7399999999998"/>
    <n v="821.26"/>
    <s v="Amina"/>
  </r>
  <r>
    <n v="1993"/>
    <d v="2025-09-27T00:00:00"/>
    <x v="1"/>
    <x v="1"/>
    <x v="3"/>
    <x v="4"/>
    <n v="1200"/>
    <n v="7200"/>
    <n v="5185.29"/>
    <n v="2014.71"/>
    <s v="James"/>
  </r>
  <r>
    <n v="1994"/>
    <d v="2025-07-08T00:00:00"/>
    <x v="1"/>
    <x v="0"/>
    <x v="7"/>
    <x v="1"/>
    <n v="500"/>
    <n v="4500"/>
    <n v="3186.87"/>
    <n v="1313.13"/>
    <s v="Brian"/>
  </r>
  <r>
    <n v="1995"/>
    <d v="2025-05-28T00:00:00"/>
    <x v="1"/>
    <x v="2"/>
    <x v="5"/>
    <x v="5"/>
    <n v="1200"/>
    <n v="2400"/>
    <n v="2074.27"/>
    <n v="325.73"/>
    <s v="Amina"/>
  </r>
  <r>
    <n v="1996"/>
    <d v="2025-03-19T00:00:00"/>
    <x v="0"/>
    <x v="1"/>
    <x v="3"/>
    <x v="5"/>
    <n v="5000"/>
    <n v="10000"/>
    <n v="6017.84"/>
    <n v="3982.16"/>
    <s v="Lilian"/>
  </r>
  <r>
    <n v="1997"/>
    <d v="2025-10-05T00:00:00"/>
    <x v="0"/>
    <x v="0"/>
    <x v="0"/>
    <x v="3"/>
    <n v="1200"/>
    <n v="6000"/>
    <n v="5336.11"/>
    <n v="663.89"/>
    <s v="James"/>
  </r>
  <r>
    <n v="1998"/>
    <d v="2025-05-30T00:00:00"/>
    <x v="0"/>
    <x v="2"/>
    <x v="4"/>
    <x v="9"/>
    <n v="5000"/>
    <n v="40000"/>
    <n v="31025.58"/>
    <n v="8974.42"/>
    <s v="Amina"/>
  </r>
  <r>
    <n v="1999"/>
    <d v="2025-10-24T00:00:00"/>
    <x v="4"/>
    <x v="1"/>
    <x v="2"/>
    <x v="1"/>
    <n v="5000"/>
    <n v="45000"/>
    <n v="30040.07"/>
    <n v="14959.93"/>
    <s v="Peter"/>
  </r>
  <r>
    <n v="2000"/>
    <d v="2025-09-29T00:00:00"/>
    <x v="2"/>
    <x v="0"/>
    <x v="8"/>
    <x v="9"/>
    <n v="2500"/>
    <n v="20000"/>
    <n v="15660.99"/>
    <n v="4339.01"/>
    <s v="Jam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1"/>
    <n v="5000"/>
    <n v="5000"/>
    <n v="3231.3"/>
    <n v="1768.7"/>
    <x v="0"/>
  </r>
  <r>
    <x v="1"/>
    <x v="1"/>
    <x v="1"/>
    <x v="1"/>
    <x v="1"/>
    <n v="9"/>
    <n v="150"/>
    <n v="1350"/>
    <n v="1021.51"/>
    <n v="328.49"/>
    <x v="1"/>
  </r>
  <r>
    <x v="2"/>
    <x v="2"/>
    <x v="2"/>
    <x v="1"/>
    <x v="2"/>
    <n v="9"/>
    <n v="2500"/>
    <n v="22500"/>
    <n v="12583.97"/>
    <n v="9916.0300000000007"/>
    <x v="2"/>
  </r>
  <r>
    <x v="3"/>
    <x v="3"/>
    <x v="0"/>
    <x v="1"/>
    <x v="3"/>
    <n v="10"/>
    <n v="500"/>
    <n v="5000"/>
    <n v="4166.5"/>
    <n v="833.5"/>
    <x v="0"/>
  </r>
  <r>
    <x v="4"/>
    <x v="4"/>
    <x v="1"/>
    <x v="2"/>
    <x v="4"/>
    <n v="5"/>
    <n v="250"/>
    <n v="1250"/>
    <n v="781.7"/>
    <n v="468.3"/>
    <x v="1"/>
  </r>
  <r>
    <x v="5"/>
    <x v="5"/>
    <x v="1"/>
    <x v="2"/>
    <x v="5"/>
    <n v="6"/>
    <n v="12000"/>
    <n v="72000"/>
    <n v="48267.68"/>
    <n v="23732.32"/>
    <x v="0"/>
  </r>
  <r>
    <x v="6"/>
    <x v="6"/>
    <x v="2"/>
    <x v="2"/>
    <x v="6"/>
    <n v="2"/>
    <n v="1200"/>
    <n v="2400"/>
    <n v="1386.19"/>
    <n v="1013.81"/>
    <x v="3"/>
  </r>
  <r>
    <x v="7"/>
    <x v="7"/>
    <x v="1"/>
    <x v="0"/>
    <x v="0"/>
    <n v="2"/>
    <n v="150"/>
    <n v="300"/>
    <n v="234.43"/>
    <n v="65.569999999999993"/>
    <x v="4"/>
  </r>
  <r>
    <x v="8"/>
    <x v="8"/>
    <x v="0"/>
    <x v="1"/>
    <x v="3"/>
    <n v="5"/>
    <n v="1200"/>
    <n v="6000"/>
    <n v="4634.9399999999996"/>
    <n v="1365.06"/>
    <x v="3"/>
  </r>
  <r>
    <x v="9"/>
    <x v="9"/>
    <x v="1"/>
    <x v="2"/>
    <x v="5"/>
    <n v="5"/>
    <n v="5000"/>
    <n v="25000"/>
    <n v="21945.73"/>
    <n v="3054.27"/>
    <x v="5"/>
  </r>
  <r>
    <x v="10"/>
    <x v="10"/>
    <x v="3"/>
    <x v="0"/>
    <x v="0"/>
    <n v="9"/>
    <n v="5000"/>
    <n v="45000"/>
    <n v="28605.77"/>
    <n v="16394.23"/>
    <x v="3"/>
  </r>
  <r>
    <x v="11"/>
    <x v="11"/>
    <x v="0"/>
    <x v="0"/>
    <x v="7"/>
    <n v="9"/>
    <n v="250"/>
    <n v="2250"/>
    <n v="1776.63"/>
    <n v="473.37"/>
    <x v="1"/>
  </r>
  <r>
    <x v="12"/>
    <x v="12"/>
    <x v="4"/>
    <x v="2"/>
    <x v="4"/>
    <n v="5"/>
    <n v="150"/>
    <n v="750"/>
    <n v="467.88"/>
    <n v="282.12"/>
    <x v="4"/>
  </r>
  <r>
    <x v="13"/>
    <x v="5"/>
    <x v="0"/>
    <x v="0"/>
    <x v="8"/>
    <n v="7"/>
    <n v="5000"/>
    <n v="35000"/>
    <n v="24870.94"/>
    <n v="10129.06"/>
    <x v="4"/>
  </r>
  <r>
    <x v="14"/>
    <x v="13"/>
    <x v="2"/>
    <x v="0"/>
    <x v="7"/>
    <n v="9"/>
    <n v="500"/>
    <n v="4500"/>
    <n v="3651.55"/>
    <n v="848.45"/>
    <x v="2"/>
  </r>
  <r>
    <x v="15"/>
    <x v="14"/>
    <x v="1"/>
    <x v="2"/>
    <x v="5"/>
    <n v="3"/>
    <n v="2500"/>
    <n v="7500"/>
    <n v="5420.48"/>
    <n v="2079.52"/>
    <x v="4"/>
  </r>
  <r>
    <x v="16"/>
    <x v="15"/>
    <x v="2"/>
    <x v="0"/>
    <x v="0"/>
    <n v="7"/>
    <n v="2500"/>
    <n v="17500"/>
    <n v="10014.11"/>
    <n v="7485.89"/>
    <x v="2"/>
  </r>
  <r>
    <x v="17"/>
    <x v="16"/>
    <x v="1"/>
    <x v="0"/>
    <x v="8"/>
    <n v="9"/>
    <n v="12000"/>
    <n v="108000"/>
    <n v="95023.89"/>
    <n v="12976.11"/>
    <x v="0"/>
  </r>
  <r>
    <x v="18"/>
    <x v="17"/>
    <x v="3"/>
    <x v="0"/>
    <x v="8"/>
    <n v="6"/>
    <n v="150"/>
    <n v="900"/>
    <n v="587.45000000000005"/>
    <n v="312.55"/>
    <x v="1"/>
  </r>
  <r>
    <x v="19"/>
    <x v="18"/>
    <x v="1"/>
    <x v="0"/>
    <x v="7"/>
    <n v="5"/>
    <n v="2500"/>
    <n v="12500"/>
    <n v="10208.58"/>
    <n v="2291.42"/>
    <x v="0"/>
  </r>
  <r>
    <x v="20"/>
    <x v="19"/>
    <x v="0"/>
    <x v="2"/>
    <x v="6"/>
    <n v="9"/>
    <n v="2500"/>
    <n v="22500"/>
    <n v="13941.42"/>
    <n v="8558.58"/>
    <x v="5"/>
  </r>
  <r>
    <x v="21"/>
    <x v="20"/>
    <x v="4"/>
    <x v="0"/>
    <x v="0"/>
    <n v="10"/>
    <n v="500"/>
    <n v="5000"/>
    <n v="3605.06"/>
    <n v="1394.94"/>
    <x v="3"/>
  </r>
  <r>
    <x v="22"/>
    <x v="21"/>
    <x v="3"/>
    <x v="1"/>
    <x v="2"/>
    <n v="4"/>
    <n v="2500"/>
    <n v="10000"/>
    <n v="8814.32"/>
    <n v="1185.68"/>
    <x v="1"/>
  </r>
  <r>
    <x v="23"/>
    <x v="22"/>
    <x v="0"/>
    <x v="0"/>
    <x v="0"/>
    <n v="3"/>
    <n v="5000"/>
    <n v="15000"/>
    <n v="10745.23"/>
    <n v="4254.7700000000004"/>
    <x v="3"/>
  </r>
  <r>
    <x v="24"/>
    <x v="23"/>
    <x v="0"/>
    <x v="0"/>
    <x v="7"/>
    <n v="7"/>
    <n v="250"/>
    <n v="1750"/>
    <n v="1531.46"/>
    <n v="218.54"/>
    <x v="0"/>
  </r>
  <r>
    <x v="25"/>
    <x v="24"/>
    <x v="1"/>
    <x v="2"/>
    <x v="4"/>
    <n v="6"/>
    <n v="1200"/>
    <n v="7200"/>
    <n v="6227.03"/>
    <n v="972.97"/>
    <x v="4"/>
  </r>
  <r>
    <x v="26"/>
    <x v="25"/>
    <x v="2"/>
    <x v="1"/>
    <x v="2"/>
    <n v="6"/>
    <n v="150"/>
    <n v="900"/>
    <n v="680.32"/>
    <n v="219.68"/>
    <x v="4"/>
  </r>
  <r>
    <x v="27"/>
    <x v="1"/>
    <x v="4"/>
    <x v="1"/>
    <x v="2"/>
    <n v="1"/>
    <n v="250"/>
    <n v="250"/>
    <n v="143.4"/>
    <n v="106.6"/>
    <x v="1"/>
  </r>
  <r>
    <x v="28"/>
    <x v="26"/>
    <x v="0"/>
    <x v="0"/>
    <x v="0"/>
    <n v="5"/>
    <n v="5000"/>
    <n v="25000"/>
    <n v="17997.38"/>
    <n v="7002.62"/>
    <x v="0"/>
  </r>
  <r>
    <x v="29"/>
    <x v="27"/>
    <x v="0"/>
    <x v="0"/>
    <x v="7"/>
    <n v="8"/>
    <n v="250"/>
    <n v="2000"/>
    <n v="1649.23"/>
    <n v="350.77"/>
    <x v="1"/>
  </r>
  <r>
    <x v="30"/>
    <x v="28"/>
    <x v="1"/>
    <x v="1"/>
    <x v="1"/>
    <n v="7"/>
    <n v="500"/>
    <n v="3500"/>
    <n v="2443.88"/>
    <n v="1056.1199999999999"/>
    <x v="0"/>
  </r>
  <r>
    <x v="31"/>
    <x v="29"/>
    <x v="1"/>
    <x v="0"/>
    <x v="7"/>
    <n v="2"/>
    <n v="150"/>
    <n v="300"/>
    <n v="207.28"/>
    <n v="92.72"/>
    <x v="4"/>
  </r>
  <r>
    <x v="32"/>
    <x v="30"/>
    <x v="4"/>
    <x v="1"/>
    <x v="2"/>
    <n v="9"/>
    <n v="1200"/>
    <n v="10800"/>
    <n v="6469.89"/>
    <n v="4330.1099999999997"/>
    <x v="2"/>
  </r>
  <r>
    <x v="33"/>
    <x v="22"/>
    <x v="1"/>
    <x v="1"/>
    <x v="2"/>
    <n v="8"/>
    <n v="12000"/>
    <n v="96000"/>
    <n v="81741.33"/>
    <n v="14258.67"/>
    <x v="1"/>
  </r>
  <r>
    <x v="34"/>
    <x v="31"/>
    <x v="0"/>
    <x v="0"/>
    <x v="7"/>
    <n v="1"/>
    <n v="150"/>
    <n v="150"/>
    <n v="131.13"/>
    <n v="18.87"/>
    <x v="2"/>
  </r>
  <r>
    <x v="35"/>
    <x v="32"/>
    <x v="0"/>
    <x v="2"/>
    <x v="4"/>
    <n v="4"/>
    <n v="12000"/>
    <n v="48000"/>
    <n v="33137.480000000003"/>
    <n v="14862.52"/>
    <x v="2"/>
  </r>
  <r>
    <x v="36"/>
    <x v="33"/>
    <x v="3"/>
    <x v="1"/>
    <x v="3"/>
    <n v="5"/>
    <n v="12000"/>
    <n v="60000"/>
    <n v="49487.72"/>
    <n v="10512.28"/>
    <x v="0"/>
  </r>
  <r>
    <x v="37"/>
    <x v="34"/>
    <x v="1"/>
    <x v="0"/>
    <x v="7"/>
    <n v="8"/>
    <n v="250"/>
    <n v="2000"/>
    <n v="1232.93"/>
    <n v="767.07"/>
    <x v="5"/>
  </r>
  <r>
    <x v="38"/>
    <x v="35"/>
    <x v="2"/>
    <x v="0"/>
    <x v="7"/>
    <n v="1"/>
    <n v="5000"/>
    <n v="5000"/>
    <n v="3298.81"/>
    <n v="1701.19"/>
    <x v="2"/>
  </r>
  <r>
    <x v="39"/>
    <x v="36"/>
    <x v="0"/>
    <x v="0"/>
    <x v="7"/>
    <n v="3"/>
    <n v="150"/>
    <n v="450"/>
    <n v="398.82"/>
    <n v="51.18"/>
    <x v="1"/>
  </r>
  <r>
    <x v="40"/>
    <x v="37"/>
    <x v="0"/>
    <x v="0"/>
    <x v="0"/>
    <n v="4"/>
    <n v="1200"/>
    <n v="4800"/>
    <n v="2841.41"/>
    <n v="1958.59"/>
    <x v="5"/>
  </r>
  <r>
    <x v="41"/>
    <x v="38"/>
    <x v="2"/>
    <x v="0"/>
    <x v="0"/>
    <n v="10"/>
    <n v="150"/>
    <n v="1500"/>
    <n v="1045.0899999999999"/>
    <n v="454.91"/>
    <x v="5"/>
  </r>
  <r>
    <x v="42"/>
    <x v="39"/>
    <x v="4"/>
    <x v="2"/>
    <x v="4"/>
    <n v="4"/>
    <n v="5000"/>
    <n v="20000"/>
    <n v="16013.34"/>
    <n v="3986.66"/>
    <x v="2"/>
  </r>
  <r>
    <x v="43"/>
    <x v="40"/>
    <x v="1"/>
    <x v="1"/>
    <x v="1"/>
    <n v="5"/>
    <n v="1200"/>
    <n v="6000"/>
    <n v="3963.97"/>
    <n v="2036.03"/>
    <x v="2"/>
  </r>
  <r>
    <x v="44"/>
    <x v="18"/>
    <x v="4"/>
    <x v="0"/>
    <x v="7"/>
    <n v="2"/>
    <n v="150"/>
    <n v="300"/>
    <n v="221.45"/>
    <n v="78.55"/>
    <x v="4"/>
  </r>
  <r>
    <x v="45"/>
    <x v="41"/>
    <x v="2"/>
    <x v="2"/>
    <x v="5"/>
    <n v="4"/>
    <n v="500"/>
    <n v="2000"/>
    <n v="1299.49"/>
    <n v="700.51"/>
    <x v="0"/>
  </r>
  <r>
    <x v="46"/>
    <x v="42"/>
    <x v="4"/>
    <x v="2"/>
    <x v="6"/>
    <n v="9"/>
    <n v="150"/>
    <n v="1350"/>
    <n v="1058.07"/>
    <n v="291.93"/>
    <x v="0"/>
  </r>
  <r>
    <x v="47"/>
    <x v="42"/>
    <x v="0"/>
    <x v="1"/>
    <x v="2"/>
    <n v="5"/>
    <n v="150"/>
    <n v="750"/>
    <n v="646.04999999999995"/>
    <n v="103.95"/>
    <x v="3"/>
  </r>
  <r>
    <x v="48"/>
    <x v="43"/>
    <x v="4"/>
    <x v="2"/>
    <x v="6"/>
    <n v="4"/>
    <n v="5000"/>
    <n v="20000"/>
    <n v="13400.16"/>
    <n v="6599.84"/>
    <x v="5"/>
  </r>
  <r>
    <x v="49"/>
    <x v="44"/>
    <x v="1"/>
    <x v="2"/>
    <x v="4"/>
    <n v="1"/>
    <n v="150"/>
    <n v="150"/>
    <n v="115.8"/>
    <n v="34.200000000000003"/>
    <x v="1"/>
  </r>
  <r>
    <x v="50"/>
    <x v="45"/>
    <x v="3"/>
    <x v="2"/>
    <x v="5"/>
    <n v="5"/>
    <n v="250"/>
    <n v="1250"/>
    <n v="1011.79"/>
    <n v="238.21"/>
    <x v="5"/>
  </r>
  <r>
    <x v="51"/>
    <x v="46"/>
    <x v="1"/>
    <x v="1"/>
    <x v="2"/>
    <n v="2"/>
    <n v="5000"/>
    <n v="10000"/>
    <n v="8663.75"/>
    <n v="1336.25"/>
    <x v="3"/>
  </r>
  <r>
    <x v="52"/>
    <x v="47"/>
    <x v="4"/>
    <x v="0"/>
    <x v="7"/>
    <n v="3"/>
    <n v="1200"/>
    <n v="3600"/>
    <n v="2140.58"/>
    <n v="1459.42"/>
    <x v="1"/>
  </r>
  <r>
    <x v="53"/>
    <x v="48"/>
    <x v="3"/>
    <x v="2"/>
    <x v="5"/>
    <n v="4"/>
    <n v="5000"/>
    <n v="20000"/>
    <n v="11719.56"/>
    <n v="8280.44"/>
    <x v="5"/>
  </r>
  <r>
    <x v="54"/>
    <x v="49"/>
    <x v="3"/>
    <x v="0"/>
    <x v="0"/>
    <n v="4"/>
    <n v="12000"/>
    <n v="48000"/>
    <n v="29130.03"/>
    <n v="18869.97"/>
    <x v="1"/>
  </r>
  <r>
    <x v="55"/>
    <x v="50"/>
    <x v="0"/>
    <x v="1"/>
    <x v="1"/>
    <n v="6"/>
    <n v="12000"/>
    <n v="72000"/>
    <n v="63056.56"/>
    <n v="8943.44"/>
    <x v="3"/>
  </r>
  <r>
    <x v="56"/>
    <x v="51"/>
    <x v="0"/>
    <x v="1"/>
    <x v="1"/>
    <n v="2"/>
    <n v="1200"/>
    <n v="2400"/>
    <n v="2052.62"/>
    <n v="347.38"/>
    <x v="4"/>
  </r>
  <r>
    <x v="57"/>
    <x v="52"/>
    <x v="0"/>
    <x v="2"/>
    <x v="4"/>
    <n v="5"/>
    <n v="12000"/>
    <n v="60000"/>
    <n v="49702.26"/>
    <n v="10297.74"/>
    <x v="1"/>
  </r>
  <r>
    <x v="58"/>
    <x v="53"/>
    <x v="4"/>
    <x v="0"/>
    <x v="0"/>
    <n v="7"/>
    <n v="500"/>
    <n v="3500"/>
    <n v="2266.29"/>
    <n v="1233.71"/>
    <x v="3"/>
  </r>
  <r>
    <x v="59"/>
    <x v="54"/>
    <x v="4"/>
    <x v="0"/>
    <x v="7"/>
    <n v="7"/>
    <n v="5000"/>
    <n v="35000"/>
    <n v="31269.08"/>
    <n v="3730.92"/>
    <x v="1"/>
  </r>
  <r>
    <x v="60"/>
    <x v="5"/>
    <x v="1"/>
    <x v="1"/>
    <x v="3"/>
    <n v="3"/>
    <n v="2500"/>
    <n v="7500"/>
    <n v="6651.65"/>
    <n v="848.35"/>
    <x v="1"/>
  </r>
  <r>
    <x v="61"/>
    <x v="55"/>
    <x v="2"/>
    <x v="0"/>
    <x v="8"/>
    <n v="6"/>
    <n v="5000"/>
    <n v="30000"/>
    <n v="24757.5"/>
    <n v="5242.5"/>
    <x v="5"/>
  </r>
  <r>
    <x v="62"/>
    <x v="56"/>
    <x v="3"/>
    <x v="1"/>
    <x v="3"/>
    <n v="10"/>
    <n v="250"/>
    <n v="2500"/>
    <n v="1597.88"/>
    <n v="902.12"/>
    <x v="1"/>
  </r>
  <r>
    <x v="63"/>
    <x v="57"/>
    <x v="4"/>
    <x v="0"/>
    <x v="7"/>
    <n v="4"/>
    <n v="500"/>
    <n v="2000"/>
    <n v="1401.91"/>
    <n v="598.09"/>
    <x v="5"/>
  </r>
  <r>
    <x v="64"/>
    <x v="18"/>
    <x v="4"/>
    <x v="2"/>
    <x v="6"/>
    <n v="2"/>
    <n v="5000"/>
    <n v="10000"/>
    <n v="8650.16"/>
    <n v="1349.84"/>
    <x v="0"/>
  </r>
  <r>
    <x v="65"/>
    <x v="58"/>
    <x v="0"/>
    <x v="2"/>
    <x v="4"/>
    <n v="7"/>
    <n v="5000"/>
    <n v="35000"/>
    <n v="22871.78"/>
    <n v="12128.22"/>
    <x v="2"/>
  </r>
  <r>
    <x v="66"/>
    <x v="59"/>
    <x v="2"/>
    <x v="0"/>
    <x v="8"/>
    <n v="3"/>
    <n v="2500"/>
    <n v="7500"/>
    <n v="5618.9"/>
    <n v="1881.1"/>
    <x v="1"/>
  </r>
  <r>
    <x v="67"/>
    <x v="60"/>
    <x v="4"/>
    <x v="2"/>
    <x v="4"/>
    <n v="4"/>
    <n v="1200"/>
    <n v="4800"/>
    <n v="3960.07"/>
    <n v="839.93"/>
    <x v="2"/>
  </r>
  <r>
    <x v="68"/>
    <x v="61"/>
    <x v="1"/>
    <x v="2"/>
    <x v="4"/>
    <n v="4"/>
    <n v="2500"/>
    <n v="10000"/>
    <n v="7156.15"/>
    <n v="2843.85"/>
    <x v="3"/>
  </r>
  <r>
    <x v="69"/>
    <x v="62"/>
    <x v="4"/>
    <x v="0"/>
    <x v="7"/>
    <n v="10"/>
    <n v="500"/>
    <n v="5000"/>
    <n v="2913.43"/>
    <n v="2086.5700000000002"/>
    <x v="4"/>
  </r>
  <r>
    <x v="70"/>
    <x v="63"/>
    <x v="2"/>
    <x v="1"/>
    <x v="2"/>
    <n v="1"/>
    <n v="150"/>
    <n v="150"/>
    <n v="95.35"/>
    <n v="54.65"/>
    <x v="1"/>
  </r>
  <r>
    <x v="71"/>
    <x v="64"/>
    <x v="3"/>
    <x v="2"/>
    <x v="4"/>
    <n v="10"/>
    <n v="250"/>
    <n v="2500"/>
    <n v="2003.55"/>
    <n v="496.45"/>
    <x v="2"/>
  </r>
  <r>
    <x v="72"/>
    <x v="65"/>
    <x v="3"/>
    <x v="1"/>
    <x v="2"/>
    <n v="1"/>
    <n v="12000"/>
    <n v="12000"/>
    <n v="10213.85"/>
    <n v="1786.15"/>
    <x v="4"/>
  </r>
  <r>
    <x v="73"/>
    <x v="66"/>
    <x v="1"/>
    <x v="1"/>
    <x v="1"/>
    <n v="9"/>
    <n v="1200"/>
    <n v="10800"/>
    <n v="6129.83"/>
    <n v="4670.17"/>
    <x v="2"/>
  </r>
  <r>
    <x v="74"/>
    <x v="67"/>
    <x v="2"/>
    <x v="1"/>
    <x v="3"/>
    <n v="9"/>
    <n v="2500"/>
    <n v="22500"/>
    <n v="17064.189999999999"/>
    <n v="5435.81"/>
    <x v="0"/>
  </r>
  <r>
    <x v="75"/>
    <x v="63"/>
    <x v="3"/>
    <x v="0"/>
    <x v="8"/>
    <n v="9"/>
    <n v="1200"/>
    <n v="10800"/>
    <n v="9331.4500000000007"/>
    <n v="1468.55"/>
    <x v="3"/>
  </r>
  <r>
    <x v="76"/>
    <x v="68"/>
    <x v="0"/>
    <x v="1"/>
    <x v="1"/>
    <n v="5"/>
    <n v="12000"/>
    <n v="60000"/>
    <n v="49331.17"/>
    <n v="10668.83"/>
    <x v="3"/>
  </r>
  <r>
    <x v="77"/>
    <x v="69"/>
    <x v="2"/>
    <x v="2"/>
    <x v="5"/>
    <n v="5"/>
    <n v="250"/>
    <n v="1250"/>
    <n v="806.38"/>
    <n v="443.62"/>
    <x v="1"/>
  </r>
  <r>
    <x v="78"/>
    <x v="70"/>
    <x v="0"/>
    <x v="1"/>
    <x v="2"/>
    <n v="4"/>
    <n v="1200"/>
    <n v="4800"/>
    <n v="3805.84"/>
    <n v="994.16"/>
    <x v="1"/>
  </r>
  <r>
    <x v="79"/>
    <x v="71"/>
    <x v="0"/>
    <x v="2"/>
    <x v="4"/>
    <n v="6"/>
    <n v="2500"/>
    <n v="15000"/>
    <n v="10696.1"/>
    <n v="4303.8999999999996"/>
    <x v="2"/>
  </r>
  <r>
    <x v="80"/>
    <x v="72"/>
    <x v="3"/>
    <x v="2"/>
    <x v="6"/>
    <n v="1"/>
    <n v="12000"/>
    <n v="12000"/>
    <n v="10298.76"/>
    <n v="1701.24"/>
    <x v="2"/>
  </r>
  <r>
    <x v="81"/>
    <x v="73"/>
    <x v="2"/>
    <x v="1"/>
    <x v="3"/>
    <n v="5"/>
    <n v="12000"/>
    <n v="60000"/>
    <n v="41189.72"/>
    <n v="18810.28"/>
    <x v="0"/>
  </r>
  <r>
    <x v="82"/>
    <x v="74"/>
    <x v="3"/>
    <x v="0"/>
    <x v="7"/>
    <n v="10"/>
    <n v="250"/>
    <n v="2500"/>
    <n v="1802.2"/>
    <n v="697.8"/>
    <x v="2"/>
  </r>
  <r>
    <x v="83"/>
    <x v="59"/>
    <x v="0"/>
    <x v="1"/>
    <x v="3"/>
    <n v="6"/>
    <n v="5000"/>
    <n v="30000"/>
    <n v="23630.99"/>
    <n v="6369.01"/>
    <x v="2"/>
  </r>
  <r>
    <x v="84"/>
    <x v="75"/>
    <x v="2"/>
    <x v="1"/>
    <x v="1"/>
    <n v="9"/>
    <n v="150"/>
    <n v="1350"/>
    <n v="1171.02"/>
    <n v="178.98"/>
    <x v="0"/>
  </r>
  <r>
    <x v="85"/>
    <x v="30"/>
    <x v="1"/>
    <x v="1"/>
    <x v="2"/>
    <n v="7"/>
    <n v="250"/>
    <n v="1750"/>
    <n v="1493.45"/>
    <n v="256.55"/>
    <x v="3"/>
  </r>
  <r>
    <x v="86"/>
    <x v="76"/>
    <x v="4"/>
    <x v="2"/>
    <x v="4"/>
    <n v="4"/>
    <n v="1200"/>
    <n v="4800"/>
    <n v="3189.1"/>
    <n v="1610.9"/>
    <x v="2"/>
  </r>
  <r>
    <x v="87"/>
    <x v="77"/>
    <x v="4"/>
    <x v="2"/>
    <x v="5"/>
    <n v="8"/>
    <n v="150"/>
    <n v="1200"/>
    <n v="974.59"/>
    <n v="225.41"/>
    <x v="4"/>
  </r>
  <r>
    <x v="88"/>
    <x v="78"/>
    <x v="0"/>
    <x v="0"/>
    <x v="0"/>
    <n v="1"/>
    <n v="12000"/>
    <n v="12000"/>
    <n v="6730.33"/>
    <n v="5269.67"/>
    <x v="1"/>
  </r>
  <r>
    <x v="89"/>
    <x v="79"/>
    <x v="2"/>
    <x v="0"/>
    <x v="0"/>
    <n v="4"/>
    <n v="250"/>
    <n v="1000"/>
    <n v="715.75"/>
    <n v="284.25"/>
    <x v="4"/>
  </r>
  <r>
    <x v="90"/>
    <x v="60"/>
    <x v="2"/>
    <x v="2"/>
    <x v="6"/>
    <n v="5"/>
    <n v="12000"/>
    <n v="60000"/>
    <n v="40746.800000000003"/>
    <n v="19253.2"/>
    <x v="0"/>
  </r>
  <r>
    <x v="91"/>
    <x v="80"/>
    <x v="4"/>
    <x v="0"/>
    <x v="0"/>
    <n v="3"/>
    <n v="500"/>
    <n v="1500"/>
    <n v="881.75"/>
    <n v="618.25"/>
    <x v="5"/>
  </r>
  <r>
    <x v="92"/>
    <x v="75"/>
    <x v="0"/>
    <x v="0"/>
    <x v="8"/>
    <n v="7"/>
    <n v="5000"/>
    <n v="35000"/>
    <n v="21679.54"/>
    <n v="13320.46"/>
    <x v="1"/>
  </r>
  <r>
    <x v="93"/>
    <x v="81"/>
    <x v="1"/>
    <x v="0"/>
    <x v="8"/>
    <n v="10"/>
    <n v="12000"/>
    <n v="120000"/>
    <n v="71084.31"/>
    <n v="48915.69"/>
    <x v="3"/>
  </r>
  <r>
    <x v="94"/>
    <x v="82"/>
    <x v="1"/>
    <x v="0"/>
    <x v="8"/>
    <n v="6"/>
    <n v="150"/>
    <n v="900"/>
    <n v="654.38"/>
    <n v="245.62"/>
    <x v="2"/>
  </r>
  <r>
    <x v="95"/>
    <x v="83"/>
    <x v="0"/>
    <x v="2"/>
    <x v="5"/>
    <n v="7"/>
    <n v="500"/>
    <n v="3500"/>
    <n v="2703.59"/>
    <n v="796.41"/>
    <x v="2"/>
  </r>
  <r>
    <x v="96"/>
    <x v="84"/>
    <x v="3"/>
    <x v="1"/>
    <x v="1"/>
    <n v="9"/>
    <n v="5000"/>
    <n v="45000"/>
    <n v="29003.8"/>
    <n v="15996.2"/>
    <x v="2"/>
  </r>
  <r>
    <x v="97"/>
    <x v="85"/>
    <x v="1"/>
    <x v="2"/>
    <x v="6"/>
    <n v="10"/>
    <n v="500"/>
    <n v="5000"/>
    <n v="3314.03"/>
    <n v="1685.97"/>
    <x v="3"/>
  </r>
  <r>
    <x v="98"/>
    <x v="76"/>
    <x v="4"/>
    <x v="2"/>
    <x v="5"/>
    <n v="8"/>
    <n v="2500"/>
    <n v="20000"/>
    <n v="15272.32"/>
    <n v="4727.68"/>
    <x v="1"/>
  </r>
  <r>
    <x v="99"/>
    <x v="86"/>
    <x v="4"/>
    <x v="2"/>
    <x v="4"/>
    <n v="3"/>
    <n v="1200"/>
    <n v="3600"/>
    <n v="2247.27"/>
    <n v="1352.73"/>
    <x v="3"/>
  </r>
  <r>
    <x v="100"/>
    <x v="87"/>
    <x v="1"/>
    <x v="0"/>
    <x v="7"/>
    <n v="5"/>
    <n v="2500"/>
    <n v="12500"/>
    <n v="6919.41"/>
    <n v="5580.59"/>
    <x v="4"/>
  </r>
  <r>
    <x v="101"/>
    <x v="23"/>
    <x v="3"/>
    <x v="0"/>
    <x v="8"/>
    <n v="8"/>
    <n v="2500"/>
    <n v="20000"/>
    <n v="16307.15"/>
    <n v="3692.85"/>
    <x v="0"/>
  </r>
  <r>
    <x v="102"/>
    <x v="6"/>
    <x v="0"/>
    <x v="0"/>
    <x v="8"/>
    <n v="8"/>
    <n v="12000"/>
    <n v="96000"/>
    <n v="53379.37"/>
    <n v="42620.63"/>
    <x v="2"/>
  </r>
  <r>
    <x v="103"/>
    <x v="88"/>
    <x v="2"/>
    <x v="0"/>
    <x v="0"/>
    <n v="5"/>
    <n v="5000"/>
    <n v="25000"/>
    <n v="18838.61"/>
    <n v="6161.39"/>
    <x v="5"/>
  </r>
  <r>
    <x v="104"/>
    <x v="89"/>
    <x v="4"/>
    <x v="2"/>
    <x v="4"/>
    <n v="9"/>
    <n v="500"/>
    <n v="4500"/>
    <n v="3029.1"/>
    <n v="1470.9"/>
    <x v="3"/>
  </r>
  <r>
    <x v="105"/>
    <x v="90"/>
    <x v="2"/>
    <x v="2"/>
    <x v="5"/>
    <n v="2"/>
    <n v="5000"/>
    <n v="10000"/>
    <n v="6174.05"/>
    <n v="3825.95"/>
    <x v="0"/>
  </r>
  <r>
    <x v="106"/>
    <x v="91"/>
    <x v="2"/>
    <x v="1"/>
    <x v="2"/>
    <n v="4"/>
    <n v="5000"/>
    <n v="20000"/>
    <n v="14389.39"/>
    <n v="5610.61"/>
    <x v="5"/>
  </r>
  <r>
    <x v="107"/>
    <x v="92"/>
    <x v="4"/>
    <x v="2"/>
    <x v="5"/>
    <n v="4"/>
    <n v="500"/>
    <n v="2000"/>
    <n v="1259.24"/>
    <n v="740.76"/>
    <x v="1"/>
  </r>
  <r>
    <x v="108"/>
    <x v="93"/>
    <x v="2"/>
    <x v="0"/>
    <x v="7"/>
    <n v="3"/>
    <n v="500"/>
    <n v="1500"/>
    <n v="848.9"/>
    <n v="651.1"/>
    <x v="3"/>
  </r>
  <r>
    <x v="109"/>
    <x v="94"/>
    <x v="4"/>
    <x v="0"/>
    <x v="0"/>
    <n v="8"/>
    <n v="150"/>
    <n v="1200"/>
    <n v="1026.54"/>
    <n v="173.46"/>
    <x v="2"/>
  </r>
  <r>
    <x v="110"/>
    <x v="95"/>
    <x v="3"/>
    <x v="2"/>
    <x v="4"/>
    <n v="6"/>
    <n v="250"/>
    <n v="1500"/>
    <n v="1331.89"/>
    <n v="168.11"/>
    <x v="1"/>
  </r>
  <r>
    <x v="111"/>
    <x v="43"/>
    <x v="1"/>
    <x v="1"/>
    <x v="3"/>
    <n v="8"/>
    <n v="150"/>
    <n v="1200"/>
    <n v="902.35"/>
    <n v="297.64999999999998"/>
    <x v="4"/>
  </r>
  <r>
    <x v="112"/>
    <x v="96"/>
    <x v="2"/>
    <x v="1"/>
    <x v="1"/>
    <n v="5"/>
    <n v="150"/>
    <n v="750"/>
    <n v="673.4"/>
    <n v="76.599999999999994"/>
    <x v="2"/>
  </r>
  <r>
    <x v="113"/>
    <x v="76"/>
    <x v="3"/>
    <x v="0"/>
    <x v="7"/>
    <n v="10"/>
    <n v="250"/>
    <n v="2500"/>
    <n v="2053.73"/>
    <n v="446.27"/>
    <x v="2"/>
  </r>
  <r>
    <x v="114"/>
    <x v="32"/>
    <x v="2"/>
    <x v="2"/>
    <x v="6"/>
    <n v="7"/>
    <n v="500"/>
    <n v="3500"/>
    <n v="2621.57"/>
    <n v="878.43"/>
    <x v="0"/>
  </r>
  <r>
    <x v="115"/>
    <x v="17"/>
    <x v="0"/>
    <x v="1"/>
    <x v="2"/>
    <n v="4"/>
    <n v="500"/>
    <n v="2000"/>
    <n v="1562.3"/>
    <n v="437.7"/>
    <x v="4"/>
  </r>
  <r>
    <x v="116"/>
    <x v="97"/>
    <x v="2"/>
    <x v="0"/>
    <x v="0"/>
    <n v="3"/>
    <n v="150"/>
    <n v="450"/>
    <n v="311.83999999999997"/>
    <n v="138.16"/>
    <x v="2"/>
  </r>
  <r>
    <x v="117"/>
    <x v="98"/>
    <x v="3"/>
    <x v="2"/>
    <x v="5"/>
    <n v="4"/>
    <n v="500"/>
    <n v="2000"/>
    <n v="1594.87"/>
    <n v="405.13"/>
    <x v="1"/>
  </r>
  <r>
    <x v="118"/>
    <x v="91"/>
    <x v="0"/>
    <x v="0"/>
    <x v="0"/>
    <n v="5"/>
    <n v="12000"/>
    <n v="60000"/>
    <n v="49616.2"/>
    <n v="10383.799999999999"/>
    <x v="2"/>
  </r>
  <r>
    <x v="119"/>
    <x v="99"/>
    <x v="0"/>
    <x v="1"/>
    <x v="1"/>
    <n v="4"/>
    <n v="5000"/>
    <n v="20000"/>
    <n v="12042.93"/>
    <n v="7957.07"/>
    <x v="1"/>
  </r>
  <r>
    <x v="120"/>
    <x v="37"/>
    <x v="4"/>
    <x v="1"/>
    <x v="2"/>
    <n v="5"/>
    <n v="2500"/>
    <n v="12500"/>
    <n v="10151.69"/>
    <n v="2348.31"/>
    <x v="2"/>
  </r>
  <r>
    <x v="121"/>
    <x v="74"/>
    <x v="2"/>
    <x v="1"/>
    <x v="3"/>
    <n v="5"/>
    <n v="5000"/>
    <n v="25000"/>
    <n v="17271.95"/>
    <n v="7728.05"/>
    <x v="5"/>
  </r>
  <r>
    <x v="122"/>
    <x v="100"/>
    <x v="4"/>
    <x v="2"/>
    <x v="4"/>
    <n v="2"/>
    <n v="2500"/>
    <n v="5000"/>
    <n v="2819.76"/>
    <n v="2180.2399999999998"/>
    <x v="5"/>
  </r>
  <r>
    <x v="123"/>
    <x v="72"/>
    <x v="2"/>
    <x v="2"/>
    <x v="5"/>
    <n v="2"/>
    <n v="250"/>
    <n v="500"/>
    <n v="443.33"/>
    <n v="56.67"/>
    <x v="1"/>
  </r>
  <r>
    <x v="124"/>
    <x v="101"/>
    <x v="3"/>
    <x v="0"/>
    <x v="8"/>
    <n v="10"/>
    <n v="150"/>
    <n v="1500"/>
    <n v="1225.6300000000001"/>
    <n v="274.37"/>
    <x v="5"/>
  </r>
  <r>
    <x v="125"/>
    <x v="55"/>
    <x v="3"/>
    <x v="0"/>
    <x v="8"/>
    <n v="5"/>
    <n v="250"/>
    <n v="1250"/>
    <n v="1123.6600000000001"/>
    <n v="126.34"/>
    <x v="1"/>
  </r>
  <r>
    <x v="126"/>
    <x v="102"/>
    <x v="0"/>
    <x v="2"/>
    <x v="4"/>
    <n v="7"/>
    <n v="500"/>
    <n v="3500"/>
    <n v="2318.3000000000002"/>
    <n v="1181.7"/>
    <x v="3"/>
  </r>
  <r>
    <x v="127"/>
    <x v="103"/>
    <x v="2"/>
    <x v="2"/>
    <x v="6"/>
    <n v="8"/>
    <n v="500"/>
    <n v="4000"/>
    <n v="3127.62"/>
    <n v="872.38"/>
    <x v="1"/>
  </r>
  <r>
    <x v="128"/>
    <x v="104"/>
    <x v="2"/>
    <x v="2"/>
    <x v="5"/>
    <n v="6"/>
    <n v="500"/>
    <n v="3000"/>
    <n v="1989.44"/>
    <n v="1010.56"/>
    <x v="1"/>
  </r>
  <r>
    <x v="129"/>
    <x v="105"/>
    <x v="4"/>
    <x v="0"/>
    <x v="7"/>
    <n v="8"/>
    <n v="1200"/>
    <n v="9600"/>
    <n v="5462.13"/>
    <n v="4137.87"/>
    <x v="5"/>
  </r>
  <r>
    <x v="130"/>
    <x v="99"/>
    <x v="2"/>
    <x v="2"/>
    <x v="6"/>
    <n v="8"/>
    <n v="12000"/>
    <n v="96000"/>
    <n v="54534.16"/>
    <n v="41465.839999999997"/>
    <x v="4"/>
  </r>
  <r>
    <x v="131"/>
    <x v="106"/>
    <x v="2"/>
    <x v="2"/>
    <x v="4"/>
    <n v="8"/>
    <n v="150"/>
    <n v="1200"/>
    <n v="672.13"/>
    <n v="527.87"/>
    <x v="4"/>
  </r>
  <r>
    <x v="132"/>
    <x v="27"/>
    <x v="1"/>
    <x v="0"/>
    <x v="0"/>
    <n v="5"/>
    <n v="2500"/>
    <n v="12500"/>
    <n v="6934.83"/>
    <n v="5565.17"/>
    <x v="4"/>
  </r>
  <r>
    <x v="133"/>
    <x v="107"/>
    <x v="4"/>
    <x v="1"/>
    <x v="3"/>
    <n v="2"/>
    <n v="5000"/>
    <n v="10000"/>
    <n v="8412.5"/>
    <n v="1587.5"/>
    <x v="5"/>
  </r>
  <r>
    <x v="134"/>
    <x v="108"/>
    <x v="0"/>
    <x v="0"/>
    <x v="8"/>
    <n v="7"/>
    <n v="12000"/>
    <n v="84000"/>
    <n v="60385.49"/>
    <n v="23614.51"/>
    <x v="2"/>
  </r>
  <r>
    <x v="135"/>
    <x v="109"/>
    <x v="0"/>
    <x v="0"/>
    <x v="0"/>
    <n v="7"/>
    <n v="250"/>
    <n v="1750"/>
    <n v="1527.14"/>
    <n v="222.86"/>
    <x v="1"/>
  </r>
  <r>
    <x v="136"/>
    <x v="110"/>
    <x v="4"/>
    <x v="2"/>
    <x v="4"/>
    <n v="6"/>
    <n v="12000"/>
    <n v="72000"/>
    <n v="52394.99"/>
    <n v="19605.009999999998"/>
    <x v="0"/>
  </r>
  <r>
    <x v="137"/>
    <x v="111"/>
    <x v="3"/>
    <x v="2"/>
    <x v="6"/>
    <n v="10"/>
    <n v="5000"/>
    <n v="50000"/>
    <n v="36068.71"/>
    <n v="13931.29"/>
    <x v="5"/>
  </r>
  <r>
    <x v="138"/>
    <x v="112"/>
    <x v="3"/>
    <x v="2"/>
    <x v="4"/>
    <n v="6"/>
    <n v="2500"/>
    <n v="15000"/>
    <n v="12255.08"/>
    <n v="2744.92"/>
    <x v="3"/>
  </r>
  <r>
    <x v="139"/>
    <x v="113"/>
    <x v="1"/>
    <x v="1"/>
    <x v="1"/>
    <n v="4"/>
    <n v="2500"/>
    <n v="10000"/>
    <n v="6840.4"/>
    <n v="3159.6"/>
    <x v="3"/>
  </r>
  <r>
    <x v="140"/>
    <x v="114"/>
    <x v="0"/>
    <x v="0"/>
    <x v="8"/>
    <n v="7"/>
    <n v="1200"/>
    <n v="8400"/>
    <n v="7525.94"/>
    <n v="874.06"/>
    <x v="2"/>
  </r>
  <r>
    <x v="141"/>
    <x v="115"/>
    <x v="3"/>
    <x v="1"/>
    <x v="2"/>
    <n v="9"/>
    <n v="2500"/>
    <n v="22500"/>
    <n v="14989.46"/>
    <n v="7510.54"/>
    <x v="1"/>
  </r>
  <r>
    <x v="142"/>
    <x v="116"/>
    <x v="0"/>
    <x v="0"/>
    <x v="8"/>
    <n v="1"/>
    <n v="5000"/>
    <n v="5000"/>
    <n v="3002.27"/>
    <n v="1997.73"/>
    <x v="1"/>
  </r>
  <r>
    <x v="143"/>
    <x v="117"/>
    <x v="1"/>
    <x v="2"/>
    <x v="4"/>
    <n v="6"/>
    <n v="2500"/>
    <n v="15000"/>
    <n v="11886.7"/>
    <n v="3113.3"/>
    <x v="3"/>
  </r>
  <r>
    <x v="144"/>
    <x v="118"/>
    <x v="2"/>
    <x v="0"/>
    <x v="7"/>
    <n v="7"/>
    <n v="500"/>
    <n v="3500"/>
    <n v="2692.83"/>
    <n v="807.17"/>
    <x v="1"/>
  </r>
  <r>
    <x v="145"/>
    <x v="119"/>
    <x v="0"/>
    <x v="0"/>
    <x v="0"/>
    <n v="4"/>
    <n v="5000"/>
    <n v="20000"/>
    <n v="15790.8"/>
    <n v="4209.2"/>
    <x v="0"/>
  </r>
  <r>
    <x v="146"/>
    <x v="115"/>
    <x v="3"/>
    <x v="1"/>
    <x v="3"/>
    <n v="2"/>
    <n v="12000"/>
    <n v="24000"/>
    <n v="18523.48"/>
    <n v="5476.52"/>
    <x v="4"/>
  </r>
  <r>
    <x v="147"/>
    <x v="11"/>
    <x v="4"/>
    <x v="0"/>
    <x v="8"/>
    <n v="1"/>
    <n v="150"/>
    <n v="150"/>
    <n v="99.53"/>
    <n v="50.47"/>
    <x v="3"/>
  </r>
  <r>
    <x v="148"/>
    <x v="81"/>
    <x v="0"/>
    <x v="2"/>
    <x v="4"/>
    <n v="3"/>
    <n v="250"/>
    <n v="750"/>
    <n v="551.92999999999995"/>
    <n v="198.07"/>
    <x v="4"/>
  </r>
  <r>
    <x v="149"/>
    <x v="120"/>
    <x v="0"/>
    <x v="1"/>
    <x v="2"/>
    <n v="10"/>
    <n v="12000"/>
    <n v="120000"/>
    <n v="82066.86"/>
    <n v="37933.14"/>
    <x v="2"/>
  </r>
  <r>
    <x v="150"/>
    <x v="83"/>
    <x v="4"/>
    <x v="0"/>
    <x v="0"/>
    <n v="4"/>
    <n v="1200"/>
    <n v="4800"/>
    <n v="3711.68"/>
    <n v="1088.32"/>
    <x v="0"/>
  </r>
  <r>
    <x v="151"/>
    <x v="40"/>
    <x v="3"/>
    <x v="1"/>
    <x v="3"/>
    <n v="5"/>
    <n v="5000"/>
    <n v="25000"/>
    <n v="18532.73"/>
    <n v="6467.27"/>
    <x v="3"/>
  </r>
  <r>
    <x v="152"/>
    <x v="121"/>
    <x v="0"/>
    <x v="0"/>
    <x v="8"/>
    <n v="7"/>
    <n v="5000"/>
    <n v="35000"/>
    <n v="22313.7"/>
    <n v="12686.3"/>
    <x v="2"/>
  </r>
  <r>
    <x v="153"/>
    <x v="72"/>
    <x v="4"/>
    <x v="2"/>
    <x v="5"/>
    <n v="4"/>
    <n v="1200"/>
    <n v="4800"/>
    <n v="3600.83"/>
    <n v="1199.17"/>
    <x v="0"/>
  </r>
  <r>
    <x v="154"/>
    <x v="43"/>
    <x v="1"/>
    <x v="2"/>
    <x v="5"/>
    <n v="7"/>
    <n v="500"/>
    <n v="3500"/>
    <n v="1934.92"/>
    <n v="1565.08"/>
    <x v="5"/>
  </r>
  <r>
    <x v="155"/>
    <x v="60"/>
    <x v="4"/>
    <x v="0"/>
    <x v="8"/>
    <n v="5"/>
    <n v="12000"/>
    <n v="60000"/>
    <n v="49776.06"/>
    <n v="10223.94"/>
    <x v="4"/>
  </r>
  <r>
    <x v="156"/>
    <x v="122"/>
    <x v="0"/>
    <x v="0"/>
    <x v="0"/>
    <n v="10"/>
    <n v="500"/>
    <n v="5000"/>
    <n v="3936.09"/>
    <n v="1063.9100000000001"/>
    <x v="0"/>
  </r>
  <r>
    <x v="157"/>
    <x v="123"/>
    <x v="2"/>
    <x v="1"/>
    <x v="1"/>
    <n v="1"/>
    <n v="500"/>
    <n v="500"/>
    <n v="413.01"/>
    <n v="86.99"/>
    <x v="3"/>
  </r>
  <r>
    <x v="158"/>
    <x v="124"/>
    <x v="0"/>
    <x v="0"/>
    <x v="0"/>
    <n v="2"/>
    <n v="500"/>
    <n v="1000"/>
    <n v="664.35"/>
    <n v="335.65"/>
    <x v="4"/>
  </r>
  <r>
    <x v="159"/>
    <x v="74"/>
    <x v="0"/>
    <x v="1"/>
    <x v="1"/>
    <n v="6"/>
    <n v="2500"/>
    <n v="15000"/>
    <n v="10884.42"/>
    <n v="4115.58"/>
    <x v="3"/>
  </r>
  <r>
    <x v="160"/>
    <x v="125"/>
    <x v="0"/>
    <x v="2"/>
    <x v="4"/>
    <n v="6"/>
    <n v="12000"/>
    <n v="72000"/>
    <n v="42502.28"/>
    <n v="29497.72"/>
    <x v="4"/>
  </r>
  <r>
    <x v="161"/>
    <x v="126"/>
    <x v="1"/>
    <x v="0"/>
    <x v="7"/>
    <n v="7"/>
    <n v="12000"/>
    <n v="84000"/>
    <n v="69854.880000000005"/>
    <n v="14145.12"/>
    <x v="2"/>
  </r>
  <r>
    <x v="162"/>
    <x v="127"/>
    <x v="4"/>
    <x v="1"/>
    <x v="3"/>
    <n v="9"/>
    <n v="150"/>
    <n v="1350"/>
    <n v="957.39"/>
    <n v="392.61"/>
    <x v="5"/>
  </r>
  <r>
    <x v="163"/>
    <x v="108"/>
    <x v="1"/>
    <x v="2"/>
    <x v="6"/>
    <n v="6"/>
    <n v="150"/>
    <n v="900"/>
    <n v="707.57"/>
    <n v="192.43"/>
    <x v="5"/>
  </r>
  <r>
    <x v="164"/>
    <x v="128"/>
    <x v="3"/>
    <x v="0"/>
    <x v="8"/>
    <n v="10"/>
    <n v="250"/>
    <n v="2500"/>
    <n v="1941.7"/>
    <n v="558.29999999999995"/>
    <x v="0"/>
  </r>
  <r>
    <x v="165"/>
    <x v="129"/>
    <x v="4"/>
    <x v="2"/>
    <x v="6"/>
    <n v="7"/>
    <n v="150"/>
    <n v="1050"/>
    <n v="628.87"/>
    <n v="421.13"/>
    <x v="2"/>
  </r>
  <r>
    <x v="166"/>
    <x v="89"/>
    <x v="4"/>
    <x v="1"/>
    <x v="2"/>
    <n v="4"/>
    <n v="2500"/>
    <n v="10000"/>
    <n v="5974.82"/>
    <n v="4025.18"/>
    <x v="0"/>
  </r>
  <r>
    <x v="167"/>
    <x v="130"/>
    <x v="3"/>
    <x v="0"/>
    <x v="7"/>
    <n v="9"/>
    <n v="1200"/>
    <n v="10800"/>
    <n v="8160.15"/>
    <n v="2639.85"/>
    <x v="0"/>
  </r>
  <r>
    <x v="168"/>
    <x v="131"/>
    <x v="1"/>
    <x v="1"/>
    <x v="3"/>
    <n v="10"/>
    <n v="1200"/>
    <n v="12000"/>
    <n v="10544.02"/>
    <n v="1455.98"/>
    <x v="0"/>
  </r>
  <r>
    <x v="169"/>
    <x v="132"/>
    <x v="1"/>
    <x v="2"/>
    <x v="5"/>
    <n v="8"/>
    <n v="1200"/>
    <n v="9600"/>
    <n v="8473.8700000000008"/>
    <n v="1126.1300000000001"/>
    <x v="0"/>
  </r>
  <r>
    <x v="170"/>
    <x v="87"/>
    <x v="1"/>
    <x v="2"/>
    <x v="6"/>
    <n v="6"/>
    <n v="150"/>
    <n v="900"/>
    <n v="620.41"/>
    <n v="279.58999999999997"/>
    <x v="2"/>
  </r>
  <r>
    <x v="171"/>
    <x v="133"/>
    <x v="1"/>
    <x v="1"/>
    <x v="1"/>
    <n v="4"/>
    <n v="5000"/>
    <n v="20000"/>
    <n v="15476.45"/>
    <n v="4523.55"/>
    <x v="3"/>
  </r>
  <r>
    <x v="172"/>
    <x v="42"/>
    <x v="0"/>
    <x v="1"/>
    <x v="2"/>
    <n v="10"/>
    <n v="250"/>
    <n v="2500"/>
    <n v="1435.03"/>
    <n v="1064.97"/>
    <x v="5"/>
  </r>
  <r>
    <x v="173"/>
    <x v="134"/>
    <x v="1"/>
    <x v="1"/>
    <x v="2"/>
    <n v="6"/>
    <n v="12000"/>
    <n v="72000"/>
    <n v="43318.37"/>
    <n v="28681.63"/>
    <x v="3"/>
  </r>
  <r>
    <x v="174"/>
    <x v="135"/>
    <x v="1"/>
    <x v="1"/>
    <x v="2"/>
    <n v="9"/>
    <n v="500"/>
    <n v="4500"/>
    <n v="3732.66"/>
    <n v="767.34"/>
    <x v="4"/>
  </r>
  <r>
    <x v="175"/>
    <x v="101"/>
    <x v="4"/>
    <x v="1"/>
    <x v="3"/>
    <n v="4"/>
    <n v="2500"/>
    <n v="10000"/>
    <n v="6633.2"/>
    <n v="3366.8"/>
    <x v="1"/>
  </r>
  <r>
    <x v="176"/>
    <x v="136"/>
    <x v="3"/>
    <x v="1"/>
    <x v="1"/>
    <n v="7"/>
    <n v="2500"/>
    <n v="17500"/>
    <n v="10321.1"/>
    <n v="7178.9"/>
    <x v="2"/>
  </r>
  <r>
    <x v="177"/>
    <x v="137"/>
    <x v="2"/>
    <x v="2"/>
    <x v="6"/>
    <n v="10"/>
    <n v="150"/>
    <n v="1500"/>
    <n v="1062.3"/>
    <n v="437.7"/>
    <x v="1"/>
  </r>
  <r>
    <x v="178"/>
    <x v="138"/>
    <x v="1"/>
    <x v="0"/>
    <x v="7"/>
    <n v="9"/>
    <n v="500"/>
    <n v="4500"/>
    <n v="3196.42"/>
    <n v="1303.58"/>
    <x v="2"/>
  </r>
  <r>
    <x v="179"/>
    <x v="139"/>
    <x v="1"/>
    <x v="2"/>
    <x v="4"/>
    <n v="2"/>
    <n v="1200"/>
    <n v="2400"/>
    <n v="1918.42"/>
    <n v="481.58"/>
    <x v="1"/>
  </r>
  <r>
    <x v="180"/>
    <x v="140"/>
    <x v="2"/>
    <x v="2"/>
    <x v="6"/>
    <n v="3"/>
    <n v="150"/>
    <n v="450"/>
    <n v="267.38"/>
    <n v="182.62"/>
    <x v="5"/>
  </r>
  <r>
    <x v="181"/>
    <x v="89"/>
    <x v="2"/>
    <x v="0"/>
    <x v="8"/>
    <n v="7"/>
    <n v="2500"/>
    <n v="17500"/>
    <n v="12874.66"/>
    <n v="4625.34"/>
    <x v="5"/>
  </r>
  <r>
    <x v="182"/>
    <x v="45"/>
    <x v="0"/>
    <x v="2"/>
    <x v="5"/>
    <n v="2"/>
    <n v="12000"/>
    <n v="24000"/>
    <n v="18699.59"/>
    <n v="5300.41"/>
    <x v="2"/>
  </r>
  <r>
    <x v="183"/>
    <x v="141"/>
    <x v="3"/>
    <x v="2"/>
    <x v="5"/>
    <n v="7"/>
    <n v="500"/>
    <n v="3500"/>
    <n v="2938.59"/>
    <n v="561.41"/>
    <x v="0"/>
  </r>
  <r>
    <x v="184"/>
    <x v="19"/>
    <x v="0"/>
    <x v="1"/>
    <x v="3"/>
    <n v="7"/>
    <n v="500"/>
    <n v="3500"/>
    <n v="2739.76"/>
    <n v="760.24"/>
    <x v="0"/>
  </r>
  <r>
    <x v="185"/>
    <x v="100"/>
    <x v="1"/>
    <x v="2"/>
    <x v="5"/>
    <n v="2"/>
    <n v="12000"/>
    <n v="24000"/>
    <n v="13917.06"/>
    <n v="10082.94"/>
    <x v="0"/>
  </r>
  <r>
    <x v="186"/>
    <x v="142"/>
    <x v="2"/>
    <x v="0"/>
    <x v="8"/>
    <n v="3"/>
    <n v="2500"/>
    <n v="7500"/>
    <n v="4282.45"/>
    <n v="3217.55"/>
    <x v="3"/>
  </r>
  <r>
    <x v="187"/>
    <x v="143"/>
    <x v="1"/>
    <x v="0"/>
    <x v="0"/>
    <n v="7"/>
    <n v="500"/>
    <n v="3500"/>
    <n v="2995.17"/>
    <n v="504.83"/>
    <x v="3"/>
  </r>
  <r>
    <x v="188"/>
    <x v="144"/>
    <x v="0"/>
    <x v="0"/>
    <x v="8"/>
    <n v="6"/>
    <n v="150"/>
    <n v="900"/>
    <n v="677.04"/>
    <n v="222.96"/>
    <x v="0"/>
  </r>
  <r>
    <x v="189"/>
    <x v="145"/>
    <x v="1"/>
    <x v="2"/>
    <x v="5"/>
    <n v="2"/>
    <n v="500"/>
    <n v="1000"/>
    <n v="845.88"/>
    <n v="154.12"/>
    <x v="3"/>
  </r>
  <r>
    <x v="190"/>
    <x v="146"/>
    <x v="2"/>
    <x v="0"/>
    <x v="0"/>
    <n v="7"/>
    <n v="12000"/>
    <n v="84000"/>
    <n v="62692.39"/>
    <n v="21307.61"/>
    <x v="0"/>
  </r>
  <r>
    <x v="191"/>
    <x v="147"/>
    <x v="4"/>
    <x v="0"/>
    <x v="7"/>
    <n v="1"/>
    <n v="2500"/>
    <n v="2500"/>
    <n v="2187.9499999999998"/>
    <n v="312.05"/>
    <x v="1"/>
  </r>
  <r>
    <x v="192"/>
    <x v="148"/>
    <x v="0"/>
    <x v="1"/>
    <x v="3"/>
    <n v="5"/>
    <n v="500"/>
    <n v="2500"/>
    <n v="1682.15"/>
    <n v="817.85"/>
    <x v="5"/>
  </r>
  <r>
    <x v="193"/>
    <x v="138"/>
    <x v="1"/>
    <x v="0"/>
    <x v="8"/>
    <n v="2"/>
    <n v="250"/>
    <n v="500"/>
    <n v="404.67"/>
    <n v="95.33"/>
    <x v="0"/>
  </r>
  <r>
    <x v="194"/>
    <x v="17"/>
    <x v="4"/>
    <x v="0"/>
    <x v="0"/>
    <n v="7"/>
    <n v="1200"/>
    <n v="8400"/>
    <n v="5953.72"/>
    <n v="2446.2800000000002"/>
    <x v="3"/>
  </r>
  <r>
    <x v="195"/>
    <x v="77"/>
    <x v="0"/>
    <x v="0"/>
    <x v="8"/>
    <n v="10"/>
    <n v="2500"/>
    <n v="25000"/>
    <n v="14493.37"/>
    <n v="10506.63"/>
    <x v="4"/>
  </r>
  <r>
    <x v="196"/>
    <x v="149"/>
    <x v="3"/>
    <x v="0"/>
    <x v="0"/>
    <n v="2"/>
    <n v="500"/>
    <n v="1000"/>
    <n v="705.09"/>
    <n v="294.91000000000003"/>
    <x v="5"/>
  </r>
  <r>
    <x v="197"/>
    <x v="79"/>
    <x v="4"/>
    <x v="2"/>
    <x v="4"/>
    <n v="5"/>
    <n v="250"/>
    <n v="1250"/>
    <n v="1017.79"/>
    <n v="232.21"/>
    <x v="2"/>
  </r>
  <r>
    <x v="198"/>
    <x v="47"/>
    <x v="1"/>
    <x v="1"/>
    <x v="3"/>
    <n v="10"/>
    <n v="1200"/>
    <n v="12000"/>
    <n v="8813.1200000000008"/>
    <n v="3186.88"/>
    <x v="4"/>
  </r>
  <r>
    <x v="199"/>
    <x v="144"/>
    <x v="0"/>
    <x v="2"/>
    <x v="6"/>
    <n v="1"/>
    <n v="150"/>
    <n v="150"/>
    <n v="93.23"/>
    <n v="56.77"/>
    <x v="3"/>
  </r>
  <r>
    <x v="200"/>
    <x v="150"/>
    <x v="0"/>
    <x v="2"/>
    <x v="4"/>
    <n v="2"/>
    <n v="150"/>
    <n v="300"/>
    <n v="217.23"/>
    <n v="82.77"/>
    <x v="4"/>
  </r>
  <r>
    <x v="201"/>
    <x v="50"/>
    <x v="4"/>
    <x v="2"/>
    <x v="6"/>
    <n v="4"/>
    <n v="2500"/>
    <n v="10000"/>
    <n v="7455.53"/>
    <n v="2544.4699999999998"/>
    <x v="1"/>
  </r>
  <r>
    <x v="202"/>
    <x v="151"/>
    <x v="4"/>
    <x v="2"/>
    <x v="6"/>
    <n v="1"/>
    <n v="1200"/>
    <n v="1200"/>
    <n v="667.87"/>
    <n v="532.13"/>
    <x v="5"/>
  </r>
  <r>
    <x v="203"/>
    <x v="7"/>
    <x v="1"/>
    <x v="2"/>
    <x v="6"/>
    <n v="7"/>
    <n v="5000"/>
    <n v="35000"/>
    <n v="27091.74"/>
    <n v="7908.26"/>
    <x v="2"/>
  </r>
  <r>
    <x v="204"/>
    <x v="83"/>
    <x v="4"/>
    <x v="1"/>
    <x v="3"/>
    <n v="3"/>
    <n v="12000"/>
    <n v="36000"/>
    <n v="31739.94"/>
    <n v="4260.0600000000004"/>
    <x v="1"/>
  </r>
  <r>
    <x v="205"/>
    <x v="152"/>
    <x v="1"/>
    <x v="2"/>
    <x v="5"/>
    <n v="4"/>
    <n v="1200"/>
    <n v="4800"/>
    <n v="3629.3"/>
    <n v="1170.7"/>
    <x v="2"/>
  </r>
  <r>
    <x v="206"/>
    <x v="61"/>
    <x v="1"/>
    <x v="2"/>
    <x v="6"/>
    <n v="6"/>
    <n v="250"/>
    <n v="1500"/>
    <n v="999.86"/>
    <n v="500.14"/>
    <x v="5"/>
  </r>
  <r>
    <x v="207"/>
    <x v="153"/>
    <x v="4"/>
    <x v="0"/>
    <x v="0"/>
    <n v="9"/>
    <n v="2500"/>
    <n v="22500"/>
    <n v="13901.99"/>
    <n v="8598.01"/>
    <x v="0"/>
  </r>
  <r>
    <x v="208"/>
    <x v="2"/>
    <x v="0"/>
    <x v="0"/>
    <x v="0"/>
    <n v="4"/>
    <n v="150"/>
    <n v="600"/>
    <n v="360.75"/>
    <n v="239.25"/>
    <x v="5"/>
  </r>
  <r>
    <x v="209"/>
    <x v="154"/>
    <x v="3"/>
    <x v="1"/>
    <x v="1"/>
    <n v="2"/>
    <n v="250"/>
    <n v="500"/>
    <n v="441.48"/>
    <n v="58.52"/>
    <x v="2"/>
  </r>
  <r>
    <x v="210"/>
    <x v="81"/>
    <x v="2"/>
    <x v="0"/>
    <x v="7"/>
    <n v="8"/>
    <n v="5000"/>
    <n v="40000"/>
    <n v="34938.160000000003"/>
    <n v="5061.84"/>
    <x v="3"/>
  </r>
  <r>
    <x v="211"/>
    <x v="67"/>
    <x v="4"/>
    <x v="0"/>
    <x v="8"/>
    <n v="3"/>
    <n v="1200"/>
    <n v="3600"/>
    <n v="2066.04"/>
    <n v="1533.96"/>
    <x v="3"/>
  </r>
  <r>
    <x v="212"/>
    <x v="10"/>
    <x v="3"/>
    <x v="0"/>
    <x v="0"/>
    <n v="6"/>
    <n v="2500"/>
    <n v="15000"/>
    <n v="8639.5"/>
    <n v="6360.5"/>
    <x v="1"/>
  </r>
  <r>
    <x v="213"/>
    <x v="155"/>
    <x v="2"/>
    <x v="1"/>
    <x v="3"/>
    <n v="5"/>
    <n v="150"/>
    <n v="750"/>
    <n v="581.72"/>
    <n v="168.28"/>
    <x v="5"/>
  </r>
  <r>
    <x v="214"/>
    <x v="156"/>
    <x v="3"/>
    <x v="0"/>
    <x v="8"/>
    <n v="8"/>
    <n v="2500"/>
    <n v="20000"/>
    <n v="14880.21"/>
    <n v="5119.79"/>
    <x v="5"/>
  </r>
  <r>
    <x v="215"/>
    <x v="157"/>
    <x v="1"/>
    <x v="0"/>
    <x v="0"/>
    <n v="6"/>
    <n v="2500"/>
    <n v="15000"/>
    <n v="10747.05"/>
    <n v="4252.95"/>
    <x v="2"/>
  </r>
  <r>
    <x v="216"/>
    <x v="158"/>
    <x v="0"/>
    <x v="1"/>
    <x v="3"/>
    <n v="2"/>
    <n v="2500"/>
    <n v="5000"/>
    <n v="3880.72"/>
    <n v="1119.28"/>
    <x v="0"/>
  </r>
  <r>
    <x v="217"/>
    <x v="8"/>
    <x v="4"/>
    <x v="2"/>
    <x v="4"/>
    <n v="9"/>
    <n v="2500"/>
    <n v="22500"/>
    <n v="17177.22"/>
    <n v="5322.78"/>
    <x v="3"/>
  </r>
  <r>
    <x v="218"/>
    <x v="159"/>
    <x v="4"/>
    <x v="2"/>
    <x v="4"/>
    <n v="6"/>
    <n v="5000"/>
    <n v="30000"/>
    <n v="22777.8"/>
    <n v="7222.2"/>
    <x v="1"/>
  </r>
  <r>
    <x v="219"/>
    <x v="95"/>
    <x v="2"/>
    <x v="2"/>
    <x v="5"/>
    <n v="9"/>
    <n v="5000"/>
    <n v="45000"/>
    <n v="30838.39"/>
    <n v="14161.61"/>
    <x v="4"/>
  </r>
  <r>
    <x v="220"/>
    <x v="160"/>
    <x v="4"/>
    <x v="2"/>
    <x v="5"/>
    <n v="10"/>
    <n v="5000"/>
    <n v="50000"/>
    <n v="29975"/>
    <n v="20025"/>
    <x v="0"/>
  </r>
  <r>
    <x v="221"/>
    <x v="21"/>
    <x v="4"/>
    <x v="0"/>
    <x v="7"/>
    <n v="7"/>
    <n v="250"/>
    <n v="1750"/>
    <n v="1326.96"/>
    <n v="423.04"/>
    <x v="5"/>
  </r>
  <r>
    <x v="222"/>
    <x v="98"/>
    <x v="2"/>
    <x v="2"/>
    <x v="6"/>
    <n v="6"/>
    <n v="12000"/>
    <n v="72000"/>
    <n v="42820.4"/>
    <n v="29179.599999999999"/>
    <x v="1"/>
  </r>
  <r>
    <x v="223"/>
    <x v="132"/>
    <x v="4"/>
    <x v="0"/>
    <x v="7"/>
    <n v="7"/>
    <n v="2500"/>
    <n v="17500"/>
    <n v="11841.2"/>
    <n v="5658.8"/>
    <x v="4"/>
  </r>
  <r>
    <x v="224"/>
    <x v="161"/>
    <x v="0"/>
    <x v="1"/>
    <x v="3"/>
    <n v="8"/>
    <n v="250"/>
    <n v="2000"/>
    <n v="1258.58"/>
    <n v="741.42"/>
    <x v="1"/>
  </r>
  <r>
    <x v="225"/>
    <x v="162"/>
    <x v="1"/>
    <x v="2"/>
    <x v="5"/>
    <n v="9"/>
    <n v="12000"/>
    <n v="108000"/>
    <n v="79803.33"/>
    <n v="28196.67"/>
    <x v="0"/>
  </r>
  <r>
    <x v="226"/>
    <x v="163"/>
    <x v="0"/>
    <x v="2"/>
    <x v="6"/>
    <n v="3"/>
    <n v="2500"/>
    <n v="7500"/>
    <n v="5113.8900000000003"/>
    <n v="2386.11"/>
    <x v="0"/>
  </r>
  <r>
    <x v="227"/>
    <x v="164"/>
    <x v="0"/>
    <x v="0"/>
    <x v="0"/>
    <n v="8"/>
    <n v="150"/>
    <n v="1200"/>
    <n v="832.56"/>
    <n v="367.44"/>
    <x v="2"/>
  </r>
  <r>
    <x v="228"/>
    <x v="165"/>
    <x v="3"/>
    <x v="0"/>
    <x v="8"/>
    <n v="8"/>
    <n v="250"/>
    <n v="2000"/>
    <n v="1473.81"/>
    <n v="526.19000000000005"/>
    <x v="4"/>
  </r>
  <r>
    <x v="229"/>
    <x v="166"/>
    <x v="3"/>
    <x v="2"/>
    <x v="6"/>
    <n v="10"/>
    <n v="1200"/>
    <n v="12000"/>
    <n v="8539.06"/>
    <n v="3460.94"/>
    <x v="5"/>
  </r>
  <r>
    <x v="230"/>
    <x v="167"/>
    <x v="0"/>
    <x v="0"/>
    <x v="8"/>
    <n v="3"/>
    <n v="12000"/>
    <n v="36000"/>
    <n v="22316.19"/>
    <n v="13683.81"/>
    <x v="3"/>
  </r>
  <r>
    <x v="231"/>
    <x v="168"/>
    <x v="2"/>
    <x v="1"/>
    <x v="1"/>
    <n v="8"/>
    <n v="12000"/>
    <n v="96000"/>
    <n v="65272.73"/>
    <n v="30727.27"/>
    <x v="1"/>
  </r>
  <r>
    <x v="232"/>
    <x v="169"/>
    <x v="0"/>
    <x v="2"/>
    <x v="5"/>
    <n v="3"/>
    <n v="500"/>
    <n v="1500"/>
    <n v="1060.8900000000001"/>
    <n v="439.11"/>
    <x v="2"/>
  </r>
  <r>
    <x v="233"/>
    <x v="124"/>
    <x v="1"/>
    <x v="1"/>
    <x v="2"/>
    <n v="8"/>
    <n v="500"/>
    <n v="4000"/>
    <n v="3502.66"/>
    <n v="497.34"/>
    <x v="2"/>
  </r>
  <r>
    <x v="234"/>
    <x v="19"/>
    <x v="0"/>
    <x v="0"/>
    <x v="8"/>
    <n v="4"/>
    <n v="1200"/>
    <n v="4800"/>
    <n v="4310.8"/>
    <n v="489.2"/>
    <x v="1"/>
  </r>
  <r>
    <x v="235"/>
    <x v="129"/>
    <x v="4"/>
    <x v="2"/>
    <x v="5"/>
    <n v="6"/>
    <n v="12000"/>
    <n v="72000"/>
    <n v="43280.44"/>
    <n v="28719.56"/>
    <x v="2"/>
  </r>
  <r>
    <x v="236"/>
    <x v="170"/>
    <x v="1"/>
    <x v="0"/>
    <x v="0"/>
    <n v="8"/>
    <n v="1200"/>
    <n v="9600"/>
    <n v="7347.57"/>
    <n v="2252.4299999999998"/>
    <x v="3"/>
  </r>
  <r>
    <x v="237"/>
    <x v="143"/>
    <x v="1"/>
    <x v="1"/>
    <x v="2"/>
    <n v="9"/>
    <n v="5000"/>
    <n v="45000"/>
    <n v="34339.86"/>
    <n v="10660.14"/>
    <x v="3"/>
  </r>
  <r>
    <x v="238"/>
    <x v="171"/>
    <x v="2"/>
    <x v="1"/>
    <x v="3"/>
    <n v="2"/>
    <n v="150"/>
    <n v="300"/>
    <n v="190.04"/>
    <n v="109.96"/>
    <x v="2"/>
  </r>
  <r>
    <x v="239"/>
    <x v="159"/>
    <x v="2"/>
    <x v="1"/>
    <x v="2"/>
    <n v="8"/>
    <n v="2500"/>
    <n v="20000"/>
    <n v="14752.38"/>
    <n v="5247.62"/>
    <x v="5"/>
  </r>
  <r>
    <x v="240"/>
    <x v="172"/>
    <x v="4"/>
    <x v="1"/>
    <x v="1"/>
    <n v="3"/>
    <n v="500"/>
    <n v="1500"/>
    <n v="1050.3499999999999"/>
    <n v="449.65"/>
    <x v="4"/>
  </r>
  <r>
    <x v="241"/>
    <x v="152"/>
    <x v="4"/>
    <x v="0"/>
    <x v="8"/>
    <n v="3"/>
    <n v="5000"/>
    <n v="15000"/>
    <n v="11758.13"/>
    <n v="3241.87"/>
    <x v="1"/>
  </r>
  <r>
    <x v="242"/>
    <x v="42"/>
    <x v="1"/>
    <x v="0"/>
    <x v="7"/>
    <n v="9"/>
    <n v="12000"/>
    <n v="108000"/>
    <n v="96758.93"/>
    <n v="11241.07"/>
    <x v="2"/>
  </r>
  <r>
    <x v="243"/>
    <x v="173"/>
    <x v="4"/>
    <x v="2"/>
    <x v="5"/>
    <n v="7"/>
    <n v="500"/>
    <n v="3500"/>
    <n v="2235.7199999999998"/>
    <n v="1264.28"/>
    <x v="1"/>
  </r>
  <r>
    <x v="244"/>
    <x v="174"/>
    <x v="0"/>
    <x v="2"/>
    <x v="5"/>
    <n v="2"/>
    <n v="12000"/>
    <n v="24000"/>
    <n v="18087.990000000002"/>
    <n v="5912.01"/>
    <x v="1"/>
  </r>
  <r>
    <x v="245"/>
    <x v="175"/>
    <x v="3"/>
    <x v="2"/>
    <x v="6"/>
    <n v="6"/>
    <n v="12000"/>
    <n v="72000"/>
    <n v="55798.45"/>
    <n v="16201.55"/>
    <x v="0"/>
  </r>
  <r>
    <x v="246"/>
    <x v="176"/>
    <x v="1"/>
    <x v="2"/>
    <x v="6"/>
    <n v="3"/>
    <n v="12000"/>
    <n v="36000"/>
    <n v="21499.14"/>
    <n v="14500.86"/>
    <x v="3"/>
  </r>
  <r>
    <x v="247"/>
    <x v="165"/>
    <x v="2"/>
    <x v="1"/>
    <x v="2"/>
    <n v="4"/>
    <n v="150"/>
    <n v="600"/>
    <n v="396.28"/>
    <n v="203.72"/>
    <x v="2"/>
  </r>
  <r>
    <x v="248"/>
    <x v="87"/>
    <x v="4"/>
    <x v="0"/>
    <x v="8"/>
    <n v="5"/>
    <n v="150"/>
    <n v="750"/>
    <n v="610.24"/>
    <n v="139.76"/>
    <x v="3"/>
  </r>
  <r>
    <x v="249"/>
    <x v="145"/>
    <x v="3"/>
    <x v="1"/>
    <x v="1"/>
    <n v="6"/>
    <n v="500"/>
    <n v="3000"/>
    <n v="1780.7"/>
    <n v="1219.3"/>
    <x v="2"/>
  </r>
  <r>
    <x v="250"/>
    <x v="177"/>
    <x v="3"/>
    <x v="0"/>
    <x v="8"/>
    <n v="7"/>
    <n v="500"/>
    <n v="3500"/>
    <n v="3117.81"/>
    <n v="382.19"/>
    <x v="3"/>
  </r>
  <r>
    <x v="251"/>
    <x v="150"/>
    <x v="2"/>
    <x v="0"/>
    <x v="8"/>
    <n v="2"/>
    <n v="5000"/>
    <n v="10000"/>
    <n v="6985.75"/>
    <n v="3014.25"/>
    <x v="4"/>
  </r>
  <r>
    <x v="252"/>
    <x v="178"/>
    <x v="4"/>
    <x v="0"/>
    <x v="8"/>
    <n v="6"/>
    <n v="150"/>
    <n v="900"/>
    <n v="520.22"/>
    <n v="379.78"/>
    <x v="3"/>
  </r>
  <r>
    <x v="253"/>
    <x v="160"/>
    <x v="3"/>
    <x v="2"/>
    <x v="6"/>
    <n v="7"/>
    <n v="250"/>
    <n v="1750"/>
    <n v="1384.98"/>
    <n v="365.02"/>
    <x v="1"/>
  </r>
  <r>
    <x v="254"/>
    <x v="179"/>
    <x v="1"/>
    <x v="0"/>
    <x v="8"/>
    <n v="10"/>
    <n v="1200"/>
    <n v="12000"/>
    <n v="7753.13"/>
    <n v="4246.87"/>
    <x v="0"/>
  </r>
  <r>
    <x v="255"/>
    <x v="180"/>
    <x v="0"/>
    <x v="0"/>
    <x v="8"/>
    <n v="6"/>
    <n v="2500"/>
    <n v="15000"/>
    <n v="12455.75"/>
    <n v="2544.25"/>
    <x v="1"/>
  </r>
  <r>
    <x v="256"/>
    <x v="62"/>
    <x v="4"/>
    <x v="1"/>
    <x v="1"/>
    <n v="8"/>
    <n v="150"/>
    <n v="1200"/>
    <n v="713.02"/>
    <n v="486.98"/>
    <x v="3"/>
  </r>
  <r>
    <x v="257"/>
    <x v="181"/>
    <x v="4"/>
    <x v="2"/>
    <x v="6"/>
    <n v="1"/>
    <n v="2500"/>
    <n v="2500"/>
    <n v="1509.26"/>
    <n v="990.74"/>
    <x v="3"/>
  </r>
  <r>
    <x v="258"/>
    <x v="182"/>
    <x v="4"/>
    <x v="2"/>
    <x v="5"/>
    <n v="10"/>
    <n v="250"/>
    <n v="2500"/>
    <n v="1838.28"/>
    <n v="661.72"/>
    <x v="0"/>
  </r>
  <r>
    <x v="259"/>
    <x v="107"/>
    <x v="2"/>
    <x v="2"/>
    <x v="5"/>
    <n v="2"/>
    <n v="150"/>
    <n v="300"/>
    <n v="242.25"/>
    <n v="57.75"/>
    <x v="2"/>
  </r>
  <r>
    <x v="260"/>
    <x v="183"/>
    <x v="0"/>
    <x v="0"/>
    <x v="0"/>
    <n v="5"/>
    <n v="12000"/>
    <n v="60000"/>
    <n v="38466.089999999997"/>
    <n v="21533.91"/>
    <x v="5"/>
  </r>
  <r>
    <x v="261"/>
    <x v="40"/>
    <x v="3"/>
    <x v="2"/>
    <x v="6"/>
    <n v="8"/>
    <n v="250"/>
    <n v="2000"/>
    <n v="1185.8499999999999"/>
    <n v="814.15"/>
    <x v="4"/>
  </r>
  <r>
    <x v="262"/>
    <x v="69"/>
    <x v="4"/>
    <x v="0"/>
    <x v="8"/>
    <n v="2"/>
    <n v="12000"/>
    <n v="24000"/>
    <n v="18928.21"/>
    <n v="5071.79"/>
    <x v="0"/>
  </r>
  <r>
    <x v="263"/>
    <x v="17"/>
    <x v="0"/>
    <x v="1"/>
    <x v="1"/>
    <n v="9"/>
    <n v="500"/>
    <n v="4500"/>
    <n v="3878.85"/>
    <n v="621.15"/>
    <x v="3"/>
  </r>
  <r>
    <x v="264"/>
    <x v="31"/>
    <x v="3"/>
    <x v="0"/>
    <x v="0"/>
    <n v="2"/>
    <n v="250"/>
    <n v="500"/>
    <n v="413.61"/>
    <n v="86.39"/>
    <x v="1"/>
  </r>
  <r>
    <x v="265"/>
    <x v="45"/>
    <x v="0"/>
    <x v="2"/>
    <x v="6"/>
    <n v="10"/>
    <n v="500"/>
    <n v="5000"/>
    <n v="3567.96"/>
    <n v="1432.04"/>
    <x v="5"/>
  </r>
  <r>
    <x v="266"/>
    <x v="184"/>
    <x v="2"/>
    <x v="1"/>
    <x v="2"/>
    <n v="5"/>
    <n v="1200"/>
    <n v="6000"/>
    <n v="5399.15"/>
    <n v="600.85"/>
    <x v="2"/>
  </r>
  <r>
    <x v="267"/>
    <x v="185"/>
    <x v="1"/>
    <x v="2"/>
    <x v="6"/>
    <n v="2"/>
    <n v="250"/>
    <n v="500"/>
    <n v="445.17"/>
    <n v="54.83"/>
    <x v="2"/>
  </r>
  <r>
    <x v="268"/>
    <x v="45"/>
    <x v="2"/>
    <x v="2"/>
    <x v="6"/>
    <n v="9"/>
    <n v="500"/>
    <n v="4500"/>
    <n v="2677.13"/>
    <n v="1822.87"/>
    <x v="4"/>
  </r>
  <r>
    <x v="269"/>
    <x v="186"/>
    <x v="2"/>
    <x v="1"/>
    <x v="3"/>
    <n v="9"/>
    <n v="12000"/>
    <n v="108000"/>
    <n v="61494.61"/>
    <n v="46505.39"/>
    <x v="4"/>
  </r>
  <r>
    <x v="270"/>
    <x v="187"/>
    <x v="4"/>
    <x v="2"/>
    <x v="5"/>
    <n v="3"/>
    <n v="500"/>
    <n v="1500"/>
    <n v="1315.74"/>
    <n v="184.26"/>
    <x v="5"/>
  </r>
  <r>
    <x v="271"/>
    <x v="45"/>
    <x v="4"/>
    <x v="2"/>
    <x v="5"/>
    <n v="5"/>
    <n v="250"/>
    <n v="1250"/>
    <n v="965.34"/>
    <n v="284.66000000000003"/>
    <x v="4"/>
  </r>
  <r>
    <x v="272"/>
    <x v="185"/>
    <x v="0"/>
    <x v="0"/>
    <x v="8"/>
    <n v="10"/>
    <n v="2500"/>
    <n v="25000"/>
    <n v="14567.5"/>
    <n v="10432.5"/>
    <x v="5"/>
  </r>
  <r>
    <x v="273"/>
    <x v="167"/>
    <x v="4"/>
    <x v="0"/>
    <x v="0"/>
    <n v="3"/>
    <n v="5000"/>
    <n v="15000"/>
    <n v="11528.52"/>
    <n v="3471.48"/>
    <x v="5"/>
  </r>
  <r>
    <x v="274"/>
    <x v="188"/>
    <x v="4"/>
    <x v="1"/>
    <x v="2"/>
    <n v="2"/>
    <n v="150"/>
    <n v="300"/>
    <n v="264.60000000000002"/>
    <n v="35.4"/>
    <x v="0"/>
  </r>
  <r>
    <x v="275"/>
    <x v="177"/>
    <x v="2"/>
    <x v="1"/>
    <x v="1"/>
    <n v="7"/>
    <n v="2500"/>
    <n v="17500"/>
    <n v="13538.82"/>
    <n v="3961.18"/>
    <x v="3"/>
  </r>
  <r>
    <x v="276"/>
    <x v="175"/>
    <x v="3"/>
    <x v="0"/>
    <x v="8"/>
    <n v="8"/>
    <n v="250"/>
    <n v="2000"/>
    <n v="1663.28"/>
    <n v="336.72"/>
    <x v="3"/>
  </r>
  <r>
    <x v="277"/>
    <x v="189"/>
    <x v="3"/>
    <x v="2"/>
    <x v="5"/>
    <n v="1"/>
    <n v="250"/>
    <n v="250"/>
    <n v="175.97"/>
    <n v="74.03"/>
    <x v="4"/>
  </r>
  <r>
    <x v="278"/>
    <x v="69"/>
    <x v="4"/>
    <x v="2"/>
    <x v="6"/>
    <n v="3"/>
    <n v="500"/>
    <n v="1500"/>
    <n v="1277.28"/>
    <n v="222.72"/>
    <x v="2"/>
  </r>
  <r>
    <x v="279"/>
    <x v="190"/>
    <x v="3"/>
    <x v="1"/>
    <x v="3"/>
    <n v="9"/>
    <n v="2500"/>
    <n v="22500"/>
    <n v="13211.2"/>
    <n v="9288.7999999999993"/>
    <x v="1"/>
  </r>
  <r>
    <x v="280"/>
    <x v="7"/>
    <x v="3"/>
    <x v="2"/>
    <x v="4"/>
    <n v="4"/>
    <n v="250"/>
    <n v="1000"/>
    <n v="583.88"/>
    <n v="416.12"/>
    <x v="5"/>
  </r>
  <r>
    <x v="281"/>
    <x v="188"/>
    <x v="4"/>
    <x v="2"/>
    <x v="5"/>
    <n v="3"/>
    <n v="12000"/>
    <n v="36000"/>
    <n v="23925.69"/>
    <n v="12074.31"/>
    <x v="4"/>
  </r>
  <r>
    <x v="282"/>
    <x v="47"/>
    <x v="3"/>
    <x v="1"/>
    <x v="3"/>
    <n v="9"/>
    <n v="1200"/>
    <n v="10800"/>
    <n v="7825.31"/>
    <n v="2974.69"/>
    <x v="1"/>
  </r>
  <r>
    <x v="283"/>
    <x v="191"/>
    <x v="2"/>
    <x v="1"/>
    <x v="3"/>
    <n v="9"/>
    <n v="1200"/>
    <n v="10800"/>
    <n v="9594.08"/>
    <n v="1205.92"/>
    <x v="3"/>
  </r>
  <r>
    <x v="284"/>
    <x v="192"/>
    <x v="3"/>
    <x v="1"/>
    <x v="2"/>
    <n v="5"/>
    <n v="1200"/>
    <n v="6000"/>
    <n v="4554.79"/>
    <n v="1445.21"/>
    <x v="3"/>
  </r>
  <r>
    <x v="285"/>
    <x v="5"/>
    <x v="4"/>
    <x v="0"/>
    <x v="0"/>
    <n v="2"/>
    <n v="1200"/>
    <n v="2400"/>
    <n v="1432.51"/>
    <n v="967.49"/>
    <x v="2"/>
  </r>
  <r>
    <x v="286"/>
    <x v="193"/>
    <x v="4"/>
    <x v="2"/>
    <x v="5"/>
    <n v="7"/>
    <n v="150"/>
    <n v="1050"/>
    <n v="787.08"/>
    <n v="262.92"/>
    <x v="5"/>
  </r>
  <r>
    <x v="287"/>
    <x v="22"/>
    <x v="4"/>
    <x v="2"/>
    <x v="5"/>
    <n v="7"/>
    <n v="2500"/>
    <n v="17500"/>
    <n v="12383.42"/>
    <n v="5116.58"/>
    <x v="5"/>
  </r>
  <r>
    <x v="288"/>
    <x v="194"/>
    <x v="4"/>
    <x v="0"/>
    <x v="7"/>
    <n v="2"/>
    <n v="250"/>
    <n v="500"/>
    <n v="445.64"/>
    <n v="54.36"/>
    <x v="3"/>
  </r>
  <r>
    <x v="289"/>
    <x v="103"/>
    <x v="2"/>
    <x v="0"/>
    <x v="8"/>
    <n v="3"/>
    <n v="250"/>
    <n v="750"/>
    <n v="570.65"/>
    <n v="179.35"/>
    <x v="1"/>
  </r>
  <r>
    <x v="290"/>
    <x v="88"/>
    <x v="2"/>
    <x v="1"/>
    <x v="2"/>
    <n v="3"/>
    <n v="5000"/>
    <n v="15000"/>
    <n v="9998.4599999999991"/>
    <n v="5001.54"/>
    <x v="2"/>
  </r>
  <r>
    <x v="291"/>
    <x v="195"/>
    <x v="4"/>
    <x v="1"/>
    <x v="1"/>
    <n v="9"/>
    <n v="250"/>
    <n v="2250"/>
    <n v="1495.77"/>
    <n v="754.23"/>
    <x v="4"/>
  </r>
  <r>
    <x v="292"/>
    <x v="109"/>
    <x v="2"/>
    <x v="2"/>
    <x v="6"/>
    <n v="5"/>
    <n v="2500"/>
    <n v="12500"/>
    <n v="8346.6299999999992"/>
    <n v="4153.37"/>
    <x v="2"/>
  </r>
  <r>
    <x v="293"/>
    <x v="145"/>
    <x v="4"/>
    <x v="0"/>
    <x v="7"/>
    <n v="5"/>
    <n v="1200"/>
    <n v="6000"/>
    <n v="5013.07"/>
    <n v="986.93"/>
    <x v="0"/>
  </r>
  <r>
    <x v="294"/>
    <x v="97"/>
    <x v="1"/>
    <x v="1"/>
    <x v="3"/>
    <n v="10"/>
    <n v="500"/>
    <n v="5000"/>
    <n v="4144.32"/>
    <n v="855.68"/>
    <x v="5"/>
  </r>
  <r>
    <x v="295"/>
    <x v="77"/>
    <x v="2"/>
    <x v="2"/>
    <x v="4"/>
    <n v="10"/>
    <n v="2500"/>
    <n v="25000"/>
    <n v="15741"/>
    <n v="9259"/>
    <x v="2"/>
  </r>
  <r>
    <x v="296"/>
    <x v="196"/>
    <x v="0"/>
    <x v="1"/>
    <x v="1"/>
    <n v="10"/>
    <n v="12000"/>
    <n v="120000"/>
    <n v="101329.02"/>
    <n v="18670.98"/>
    <x v="1"/>
  </r>
  <r>
    <x v="297"/>
    <x v="197"/>
    <x v="3"/>
    <x v="0"/>
    <x v="7"/>
    <n v="2"/>
    <n v="250"/>
    <n v="500"/>
    <n v="278.31"/>
    <n v="221.69"/>
    <x v="4"/>
  </r>
  <r>
    <x v="298"/>
    <x v="195"/>
    <x v="3"/>
    <x v="2"/>
    <x v="6"/>
    <n v="4"/>
    <n v="1200"/>
    <n v="4800"/>
    <n v="3483.06"/>
    <n v="1316.94"/>
    <x v="0"/>
  </r>
  <r>
    <x v="299"/>
    <x v="198"/>
    <x v="3"/>
    <x v="0"/>
    <x v="0"/>
    <n v="3"/>
    <n v="2500"/>
    <n v="7500"/>
    <n v="4669.2700000000004"/>
    <n v="2830.73"/>
    <x v="5"/>
  </r>
  <r>
    <x v="300"/>
    <x v="199"/>
    <x v="2"/>
    <x v="2"/>
    <x v="4"/>
    <n v="3"/>
    <n v="1200"/>
    <n v="3600"/>
    <n v="3129.28"/>
    <n v="470.72"/>
    <x v="3"/>
  </r>
  <r>
    <x v="301"/>
    <x v="78"/>
    <x v="4"/>
    <x v="0"/>
    <x v="7"/>
    <n v="5"/>
    <n v="2500"/>
    <n v="12500"/>
    <n v="8993.2900000000009"/>
    <n v="3506.71"/>
    <x v="5"/>
  </r>
  <r>
    <x v="302"/>
    <x v="200"/>
    <x v="3"/>
    <x v="2"/>
    <x v="5"/>
    <n v="5"/>
    <n v="12000"/>
    <n v="60000"/>
    <n v="39069.089999999997"/>
    <n v="20930.91"/>
    <x v="3"/>
  </r>
  <r>
    <x v="303"/>
    <x v="119"/>
    <x v="1"/>
    <x v="2"/>
    <x v="4"/>
    <n v="9"/>
    <n v="12000"/>
    <n v="108000"/>
    <n v="86678.91"/>
    <n v="21321.09"/>
    <x v="5"/>
  </r>
  <r>
    <x v="304"/>
    <x v="201"/>
    <x v="4"/>
    <x v="0"/>
    <x v="7"/>
    <n v="7"/>
    <n v="1200"/>
    <n v="8400"/>
    <n v="7026.03"/>
    <n v="1373.97"/>
    <x v="1"/>
  </r>
  <r>
    <x v="305"/>
    <x v="116"/>
    <x v="4"/>
    <x v="2"/>
    <x v="6"/>
    <n v="2"/>
    <n v="500"/>
    <n v="1000"/>
    <n v="873.4"/>
    <n v="126.6"/>
    <x v="0"/>
  </r>
  <r>
    <x v="306"/>
    <x v="142"/>
    <x v="4"/>
    <x v="2"/>
    <x v="5"/>
    <n v="4"/>
    <n v="12000"/>
    <n v="48000"/>
    <n v="35448.11"/>
    <n v="12551.89"/>
    <x v="4"/>
  </r>
  <r>
    <x v="307"/>
    <x v="50"/>
    <x v="2"/>
    <x v="1"/>
    <x v="1"/>
    <n v="10"/>
    <n v="250"/>
    <n v="2500"/>
    <n v="1587.15"/>
    <n v="912.85"/>
    <x v="4"/>
  </r>
  <r>
    <x v="308"/>
    <x v="108"/>
    <x v="1"/>
    <x v="0"/>
    <x v="0"/>
    <n v="1"/>
    <n v="150"/>
    <n v="150"/>
    <n v="104.2"/>
    <n v="45.8"/>
    <x v="0"/>
  </r>
  <r>
    <x v="309"/>
    <x v="63"/>
    <x v="3"/>
    <x v="1"/>
    <x v="2"/>
    <n v="9"/>
    <n v="250"/>
    <n v="2250"/>
    <n v="1557.94"/>
    <n v="692.06"/>
    <x v="0"/>
  </r>
  <r>
    <x v="310"/>
    <x v="202"/>
    <x v="2"/>
    <x v="1"/>
    <x v="3"/>
    <n v="6"/>
    <n v="500"/>
    <n v="3000"/>
    <n v="2328.19"/>
    <n v="671.81"/>
    <x v="4"/>
  </r>
  <r>
    <x v="311"/>
    <x v="49"/>
    <x v="1"/>
    <x v="0"/>
    <x v="7"/>
    <n v="1"/>
    <n v="250"/>
    <n v="250"/>
    <n v="174.06"/>
    <n v="75.94"/>
    <x v="2"/>
  </r>
  <r>
    <x v="312"/>
    <x v="12"/>
    <x v="2"/>
    <x v="2"/>
    <x v="5"/>
    <n v="5"/>
    <n v="150"/>
    <n v="750"/>
    <n v="414.93"/>
    <n v="335.07"/>
    <x v="1"/>
  </r>
  <r>
    <x v="313"/>
    <x v="203"/>
    <x v="0"/>
    <x v="2"/>
    <x v="4"/>
    <n v="8"/>
    <n v="5000"/>
    <n v="40000"/>
    <n v="29606.21"/>
    <n v="10393.790000000001"/>
    <x v="5"/>
  </r>
  <r>
    <x v="314"/>
    <x v="163"/>
    <x v="3"/>
    <x v="2"/>
    <x v="4"/>
    <n v="4"/>
    <n v="12000"/>
    <n v="48000"/>
    <n v="28292.47"/>
    <n v="19707.53"/>
    <x v="0"/>
  </r>
  <r>
    <x v="315"/>
    <x v="204"/>
    <x v="2"/>
    <x v="2"/>
    <x v="6"/>
    <n v="3"/>
    <n v="150"/>
    <n v="450"/>
    <n v="363.52"/>
    <n v="86.48"/>
    <x v="0"/>
  </r>
  <r>
    <x v="316"/>
    <x v="59"/>
    <x v="3"/>
    <x v="1"/>
    <x v="2"/>
    <n v="10"/>
    <n v="12000"/>
    <n v="120000"/>
    <n v="92826.48"/>
    <n v="27173.52"/>
    <x v="5"/>
  </r>
  <r>
    <x v="317"/>
    <x v="205"/>
    <x v="3"/>
    <x v="2"/>
    <x v="5"/>
    <n v="7"/>
    <n v="5000"/>
    <n v="35000"/>
    <n v="20418.47"/>
    <n v="14581.53"/>
    <x v="3"/>
  </r>
  <r>
    <x v="318"/>
    <x v="99"/>
    <x v="4"/>
    <x v="1"/>
    <x v="2"/>
    <n v="5"/>
    <n v="1200"/>
    <n v="6000"/>
    <n v="3794.59"/>
    <n v="2205.41"/>
    <x v="3"/>
  </r>
  <r>
    <x v="319"/>
    <x v="206"/>
    <x v="0"/>
    <x v="0"/>
    <x v="7"/>
    <n v="10"/>
    <n v="150"/>
    <n v="1500"/>
    <n v="962.32"/>
    <n v="537.67999999999995"/>
    <x v="1"/>
  </r>
  <r>
    <x v="320"/>
    <x v="43"/>
    <x v="2"/>
    <x v="0"/>
    <x v="0"/>
    <n v="8"/>
    <n v="500"/>
    <n v="4000"/>
    <n v="2423.6"/>
    <n v="1576.4"/>
    <x v="0"/>
  </r>
  <r>
    <x v="321"/>
    <x v="204"/>
    <x v="4"/>
    <x v="2"/>
    <x v="6"/>
    <n v="2"/>
    <n v="5000"/>
    <n v="10000"/>
    <n v="8706.4599999999991"/>
    <n v="1293.54"/>
    <x v="5"/>
  </r>
  <r>
    <x v="322"/>
    <x v="60"/>
    <x v="4"/>
    <x v="1"/>
    <x v="2"/>
    <n v="3"/>
    <n v="1200"/>
    <n v="3600"/>
    <n v="2173.0100000000002"/>
    <n v="1426.99"/>
    <x v="2"/>
  </r>
  <r>
    <x v="323"/>
    <x v="57"/>
    <x v="0"/>
    <x v="0"/>
    <x v="7"/>
    <n v="8"/>
    <n v="12000"/>
    <n v="96000"/>
    <n v="70860.59"/>
    <n v="25139.41"/>
    <x v="4"/>
  </r>
  <r>
    <x v="324"/>
    <x v="207"/>
    <x v="4"/>
    <x v="0"/>
    <x v="7"/>
    <n v="2"/>
    <n v="2500"/>
    <n v="5000"/>
    <n v="3531.81"/>
    <n v="1468.19"/>
    <x v="1"/>
  </r>
  <r>
    <x v="325"/>
    <x v="208"/>
    <x v="0"/>
    <x v="0"/>
    <x v="0"/>
    <n v="1"/>
    <n v="12000"/>
    <n v="12000"/>
    <n v="8900.1299999999992"/>
    <n v="3099.87"/>
    <x v="5"/>
  </r>
  <r>
    <x v="326"/>
    <x v="67"/>
    <x v="1"/>
    <x v="0"/>
    <x v="0"/>
    <n v="3"/>
    <n v="500"/>
    <n v="1500"/>
    <n v="1273.6099999999999"/>
    <n v="226.39"/>
    <x v="0"/>
  </r>
  <r>
    <x v="327"/>
    <x v="209"/>
    <x v="3"/>
    <x v="1"/>
    <x v="1"/>
    <n v="10"/>
    <n v="1200"/>
    <n v="12000"/>
    <n v="6981.95"/>
    <n v="5018.05"/>
    <x v="1"/>
  </r>
  <r>
    <x v="328"/>
    <x v="179"/>
    <x v="2"/>
    <x v="2"/>
    <x v="5"/>
    <n v="9"/>
    <n v="1200"/>
    <n v="10800"/>
    <n v="7666.7"/>
    <n v="3133.3"/>
    <x v="2"/>
  </r>
  <r>
    <x v="329"/>
    <x v="110"/>
    <x v="0"/>
    <x v="0"/>
    <x v="8"/>
    <n v="1"/>
    <n v="1200"/>
    <n v="1200"/>
    <n v="766.87"/>
    <n v="433.13"/>
    <x v="5"/>
  </r>
  <r>
    <x v="330"/>
    <x v="210"/>
    <x v="1"/>
    <x v="1"/>
    <x v="2"/>
    <n v="7"/>
    <n v="500"/>
    <n v="3500"/>
    <n v="2782.97"/>
    <n v="717.03"/>
    <x v="1"/>
  </r>
  <r>
    <x v="331"/>
    <x v="211"/>
    <x v="3"/>
    <x v="2"/>
    <x v="5"/>
    <n v="5"/>
    <n v="1200"/>
    <n v="6000"/>
    <n v="3677.96"/>
    <n v="2322.04"/>
    <x v="3"/>
  </r>
  <r>
    <x v="332"/>
    <x v="178"/>
    <x v="2"/>
    <x v="2"/>
    <x v="4"/>
    <n v="7"/>
    <n v="1200"/>
    <n v="8400"/>
    <n v="4855.93"/>
    <n v="3544.07"/>
    <x v="4"/>
  </r>
  <r>
    <x v="333"/>
    <x v="194"/>
    <x v="2"/>
    <x v="0"/>
    <x v="8"/>
    <n v="2"/>
    <n v="250"/>
    <n v="500"/>
    <n v="448.75"/>
    <n v="51.25"/>
    <x v="4"/>
  </r>
  <r>
    <x v="334"/>
    <x v="212"/>
    <x v="3"/>
    <x v="0"/>
    <x v="0"/>
    <n v="1"/>
    <n v="12000"/>
    <n v="12000"/>
    <n v="6695.49"/>
    <n v="5304.51"/>
    <x v="0"/>
  </r>
  <r>
    <x v="335"/>
    <x v="25"/>
    <x v="0"/>
    <x v="0"/>
    <x v="7"/>
    <n v="7"/>
    <n v="2500"/>
    <n v="17500"/>
    <n v="11948.07"/>
    <n v="5551.93"/>
    <x v="2"/>
  </r>
  <r>
    <x v="336"/>
    <x v="20"/>
    <x v="1"/>
    <x v="2"/>
    <x v="5"/>
    <n v="5"/>
    <n v="250"/>
    <n v="1250"/>
    <n v="1097.6199999999999"/>
    <n v="152.38"/>
    <x v="0"/>
  </r>
  <r>
    <x v="337"/>
    <x v="115"/>
    <x v="2"/>
    <x v="2"/>
    <x v="6"/>
    <n v="1"/>
    <n v="250"/>
    <n v="250"/>
    <n v="155.53"/>
    <n v="94.47"/>
    <x v="1"/>
  </r>
  <r>
    <x v="338"/>
    <x v="103"/>
    <x v="3"/>
    <x v="2"/>
    <x v="6"/>
    <n v="1"/>
    <n v="250"/>
    <n v="250"/>
    <n v="202.3"/>
    <n v="47.7"/>
    <x v="4"/>
  </r>
  <r>
    <x v="339"/>
    <x v="7"/>
    <x v="0"/>
    <x v="0"/>
    <x v="0"/>
    <n v="1"/>
    <n v="250"/>
    <n v="250"/>
    <n v="181.59"/>
    <n v="68.41"/>
    <x v="0"/>
  </r>
  <r>
    <x v="340"/>
    <x v="213"/>
    <x v="0"/>
    <x v="0"/>
    <x v="8"/>
    <n v="10"/>
    <n v="2500"/>
    <n v="25000"/>
    <n v="20509.71"/>
    <n v="4490.29"/>
    <x v="3"/>
  </r>
  <r>
    <x v="341"/>
    <x v="214"/>
    <x v="1"/>
    <x v="1"/>
    <x v="1"/>
    <n v="9"/>
    <n v="250"/>
    <n v="2250"/>
    <n v="1563.18"/>
    <n v="686.82"/>
    <x v="5"/>
  </r>
  <r>
    <x v="342"/>
    <x v="215"/>
    <x v="3"/>
    <x v="0"/>
    <x v="7"/>
    <n v="3"/>
    <n v="5000"/>
    <n v="15000"/>
    <n v="11813.44"/>
    <n v="3186.56"/>
    <x v="1"/>
  </r>
  <r>
    <x v="343"/>
    <x v="216"/>
    <x v="3"/>
    <x v="2"/>
    <x v="6"/>
    <n v="7"/>
    <n v="12000"/>
    <n v="84000"/>
    <n v="61619.21"/>
    <n v="22380.79"/>
    <x v="2"/>
  </r>
  <r>
    <x v="344"/>
    <x v="88"/>
    <x v="0"/>
    <x v="1"/>
    <x v="3"/>
    <n v="7"/>
    <n v="250"/>
    <n v="1750"/>
    <n v="1424.58"/>
    <n v="325.42"/>
    <x v="4"/>
  </r>
  <r>
    <x v="345"/>
    <x v="179"/>
    <x v="2"/>
    <x v="2"/>
    <x v="6"/>
    <n v="3"/>
    <n v="12000"/>
    <n v="36000"/>
    <n v="25634.12"/>
    <n v="10365.879999999999"/>
    <x v="2"/>
  </r>
  <r>
    <x v="346"/>
    <x v="217"/>
    <x v="0"/>
    <x v="2"/>
    <x v="6"/>
    <n v="9"/>
    <n v="250"/>
    <n v="2250"/>
    <n v="1543.38"/>
    <n v="706.62"/>
    <x v="3"/>
  </r>
  <r>
    <x v="347"/>
    <x v="54"/>
    <x v="0"/>
    <x v="0"/>
    <x v="0"/>
    <n v="8"/>
    <n v="12000"/>
    <n v="96000"/>
    <n v="65268.2"/>
    <n v="30731.8"/>
    <x v="1"/>
  </r>
  <r>
    <x v="348"/>
    <x v="40"/>
    <x v="0"/>
    <x v="2"/>
    <x v="4"/>
    <n v="10"/>
    <n v="2500"/>
    <n v="25000"/>
    <n v="14096.04"/>
    <n v="10903.96"/>
    <x v="5"/>
  </r>
  <r>
    <x v="349"/>
    <x v="174"/>
    <x v="4"/>
    <x v="0"/>
    <x v="7"/>
    <n v="9"/>
    <n v="250"/>
    <n v="2250"/>
    <n v="1615.02"/>
    <n v="634.98"/>
    <x v="1"/>
  </r>
  <r>
    <x v="350"/>
    <x v="184"/>
    <x v="0"/>
    <x v="1"/>
    <x v="2"/>
    <n v="2"/>
    <n v="5000"/>
    <n v="10000"/>
    <n v="8998.5"/>
    <n v="1001.5"/>
    <x v="0"/>
  </r>
  <r>
    <x v="351"/>
    <x v="45"/>
    <x v="4"/>
    <x v="0"/>
    <x v="7"/>
    <n v="4"/>
    <n v="1200"/>
    <n v="4800"/>
    <n v="4177.41"/>
    <n v="622.59"/>
    <x v="3"/>
  </r>
  <r>
    <x v="352"/>
    <x v="218"/>
    <x v="4"/>
    <x v="2"/>
    <x v="4"/>
    <n v="9"/>
    <n v="5000"/>
    <n v="45000"/>
    <n v="30408.34"/>
    <n v="14591.66"/>
    <x v="5"/>
  </r>
  <r>
    <x v="353"/>
    <x v="51"/>
    <x v="4"/>
    <x v="2"/>
    <x v="4"/>
    <n v="2"/>
    <n v="12000"/>
    <n v="24000"/>
    <n v="21443.08"/>
    <n v="2556.92"/>
    <x v="4"/>
  </r>
  <r>
    <x v="354"/>
    <x v="137"/>
    <x v="0"/>
    <x v="2"/>
    <x v="4"/>
    <n v="7"/>
    <n v="150"/>
    <n v="1050"/>
    <n v="784.23"/>
    <n v="265.77"/>
    <x v="1"/>
  </r>
  <r>
    <x v="355"/>
    <x v="204"/>
    <x v="0"/>
    <x v="2"/>
    <x v="6"/>
    <n v="10"/>
    <n v="2500"/>
    <n v="25000"/>
    <n v="20050.099999999999"/>
    <n v="4949.8999999999996"/>
    <x v="4"/>
  </r>
  <r>
    <x v="356"/>
    <x v="107"/>
    <x v="2"/>
    <x v="2"/>
    <x v="5"/>
    <n v="7"/>
    <n v="2500"/>
    <n v="17500"/>
    <n v="14729.35"/>
    <n v="2770.65"/>
    <x v="0"/>
  </r>
  <r>
    <x v="357"/>
    <x v="185"/>
    <x v="3"/>
    <x v="0"/>
    <x v="8"/>
    <n v="5"/>
    <n v="12000"/>
    <n v="60000"/>
    <n v="50253.43"/>
    <n v="9746.57"/>
    <x v="2"/>
  </r>
  <r>
    <x v="358"/>
    <x v="46"/>
    <x v="3"/>
    <x v="1"/>
    <x v="1"/>
    <n v="6"/>
    <n v="250"/>
    <n v="1500"/>
    <n v="898.48"/>
    <n v="601.52"/>
    <x v="4"/>
  </r>
  <r>
    <x v="359"/>
    <x v="125"/>
    <x v="1"/>
    <x v="0"/>
    <x v="7"/>
    <n v="1"/>
    <n v="2500"/>
    <n v="2500"/>
    <n v="1404.6"/>
    <n v="1095.4000000000001"/>
    <x v="1"/>
  </r>
  <r>
    <x v="360"/>
    <x v="219"/>
    <x v="0"/>
    <x v="2"/>
    <x v="5"/>
    <n v="4"/>
    <n v="150"/>
    <n v="600"/>
    <n v="478.51"/>
    <n v="121.49"/>
    <x v="5"/>
  </r>
  <r>
    <x v="361"/>
    <x v="220"/>
    <x v="3"/>
    <x v="2"/>
    <x v="4"/>
    <n v="1"/>
    <n v="2500"/>
    <n v="2500"/>
    <n v="1933.01"/>
    <n v="566.99"/>
    <x v="0"/>
  </r>
  <r>
    <x v="362"/>
    <x v="221"/>
    <x v="1"/>
    <x v="2"/>
    <x v="5"/>
    <n v="1"/>
    <n v="2500"/>
    <n v="2500"/>
    <n v="1857.69"/>
    <n v="642.30999999999995"/>
    <x v="5"/>
  </r>
  <r>
    <x v="363"/>
    <x v="222"/>
    <x v="3"/>
    <x v="0"/>
    <x v="8"/>
    <n v="9"/>
    <n v="500"/>
    <n v="4500"/>
    <n v="2502"/>
    <n v="1998"/>
    <x v="4"/>
  </r>
  <r>
    <x v="364"/>
    <x v="223"/>
    <x v="2"/>
    <x v="1"/>
    <x v="2"/>
    <n v="9"/>
    <n v="250"/>
    <n v="2250"/>
    <n v="1427.26"/>
    <n v="822.74"/>
    <x v="3"/>
  </r>
  <r>
    <x v="365"/>
    <x v="59"/>
    <x v="3"/>
    <x v="2"/>
    <x v="4"/>
    <n v="7"/>
    <n v="150"/>
    <n v="1050"/>
    <n v="714.6"/>
    <n v="335.4"/>
    <x v="5"/>
  </r>
  <r>
    <x v="366"/>
    <x v="36"/>
    <x v="1"/>
    <x v="1"/>
    <x v="1"/>
    <n v="4"/>
    <n v="500"/>
    <n v="2000"/>
    <n v="1578.83"/>
    <n v="421.17"/>
    <x v="1"/>
  </r>
  <r>
    <x v="367"/>
    <x v="224"/>
    <x v="1"/>
    <x v="2"/>
    <x v="4"/>
    <n v="7"/>
    <n v="2500"/>
    <n v="17500"/>
    <n v="12540.53"/>
    <n v="4959.47"/>
    <x v="0"/>
  </r>
  <r>
    <x v="368"/>
    <x v="225"/>
    <x v="2"/>
    <x v="1"/>
    <x v="2"/>
    <n v="8"/>
    <n v="12000"/>
    <n v="96000"/>
    <n v="67379.360000000001"/>
    <n v="28620.639999999999"/>
    <x v="1"/>
  </r>
  <r>
    <x v="369"/>
    <x v="226"/>
    <x v="2"/>
    <x v="0"/>
    <x v="0"/>
    <n v="4"/>
    <n v="250"/>
    <n v="1000"/>
    <n v="865.45"/>
    <n v="134.55000000000001"/>
    <x v="2"/>
  </r>
  <r>
    <x v="370"/>
    <x v="227"/>
    <x v="2"/>
    <x v="2"/>
    <x v="5"/>
    <n v="2"/>
    <n v="5000"/>
    <n v="10000"/>
    <n v="8739.5499999999993"/>
    <n v="1260.45"/>
    <x v="0"/>
  </r>
  <r>
    <x v="371"/>
    <x v="228"/>
    <x v="0"/>
    <x v="1"/>
    <x v="2"/>
    <n v="6"/>
    <n v="150"/>
    <n v="900"/>
    <n v="797.86"/>
    <n v="102.14"/>
    <x v="0"/>
  </r>
  <r>
    <x v="372"/>
    <x v="12"/>
    <x v="3"/>
    <x v="2"/>
    <x v="5"/>
    <n v="5"/>
    <n v="250"/>
    <n v="1250"/>
    <n v="934.23"/>
    <n v="315.77"/>
    <x v="0"/>
  </r>
  <r>
    <x v="373"/>
    <x v="97"/>
    <x v="1"/>
    <x v="0"/>
    <x v="8"/>
    <n v="7"/>
    <n v="12000"/>
    <n v="84000"/>
    <n v="67948.509999999995"/>
    <n v="16051.49"/>
    <x v="5"/>
  </r>
  <r>
    <x v="374"/>
    <x v="125"/>
    <x v="4"/>
    <x v="0"/>
    <x v="8"/>
    <n v="1"/>
    <n v="150"/>
    <n v="150"/>
    <n v="105.45"/>
    <n v="44.55"/>
    <x v="5"/>
  </r>
  <r>
    <x v="375"/>
    <x v="229"/>
    <x v="4"/>
    <x v="0"/>
    <x v="7"/>
    <n v="7"/>
    <n v="12000"/>
    <n v="84000"/>
    <n v="55795.47"/>
    <n v="28204.53"/>
    <x v="2"/>
  </r>
  <r>
    <x v="376"/>
    <x v="100"/>
    <x v="0"/>
    <x v="2"/>
    <x v="5"/>
    <n v="6"/>
    <n v="2500"/>
    <n v="15000"/>
    <n v="13191"/>
    <n v="1809"/>
    <x v="0"/>
  </r>
  <r>
    <x v="377"/>
    <x v="204"/>
    <x v="0"/>
    <x v="0"/>
    <x v="7"/>
    <n v="7"/>
    <n v="150"/>
    <n v="1050"/>
    <n v="861.27"/>
    <n v="188.73"/>
    <x v="0"/>
  </r>
  <r>
    <x v="378"/>
    <x v="229"/>
    <x v="0"/>
    <x v="1"/>
    <x v="2"/>
    <n v="5"/>
    <n v="250"/>
    <n v="1250"/>
    <n v="853.75"/>
    <n v="396.25"/>
    <x v="0"/>
  </r>
  <r>
    <x v="379"/>
    <x v="47"/>
    <x v="3"/>
    <x v="2"/>
    <x v="4"/>
    <n v="6"/>
    <n v="150"/>
    <n v="900"/>
    <n v="523.83000000000004"/>
    <n v="376.17"/>
    <x v="3"/>
  </r>
  <r>
    <x v="380"/>
    <x v="230"/>
    <x v="2"/>
    <x v="2"/>
    <x v="5"/>
    <n v="3"/>
    <n v="150"/>
    <n v="450"/>
    <n v="277.01"/>
    <n v="172.99"/>
    <x v="5"/>
  </r>
  <r>
    <x v="381"/>
    <x v="42"/>
    <x v="1"/>
    <x v="0"/>
    <x v="8"/>
    <n v="2"/>
    <n v="150"/>
    <n v="300"/>
    <n v="174.41"/>
    <n v="125.59"/>
    <x v="5"/>
  </r>
  <r>
    <x v="382"/>
    <x v="231"/>
    <x v="1"/>
    <x v="0"/>
    <x v="8"/>
    <n v="7"/>
    <n v="150"/>
    <n v="1050"/>
    <n v="684.75"/>
    <n v="365.25"/>
    <x v="0"/>
  </r>
  <r>
    <x v="383"/>
    <x v="76"/>
    <x v="0"/>
    <x v="0"/>
    <x v="0"/>
    <n v="10"/>
    <n v="2500"/>
    <n v="25000"/>
    <n v="15233.85"/>
    <n v="9766.15"/>
    <x v="4"/>
  </r>
  <r>
    <x v="384"/>
    <x v="232"/>
    <x v="3"/>
    <x v="2"/>
    <x v="4"/>
    <n v="5"/>
    <n v="1200"/>
    <n v="6000"/>
    <n v="3606.46"/>
    <n v="2393.54"/>
    <x v="3"/>
  </r>
  <r>
    <x v="385"/>
    <x v="233"/>
    <x v="0"/>
    <x v="2"/>
    <x v="4"/>
    <n v="8"/>
    <n v="12000"/>
    <n v="96000"/>
    <n v="55384.56"/>
    <n v="40615.440000000002"/>
    <x v="0"/>
  </r>
  <r>
    <x v="386"/>
    <x v="65"/>
    <x v="0"/>
    <x v="0"/>
    <x v="8"/>
    <n v="10"/>
    <n v="2500"/>
    <n v="25000"/>
    <n v="15461.05"/>
    <n v="9538.9500000000007"/>
    <x v="3"/>
  </r>
  <r>
    <x v="387"/>
    <x v="234"/>
    <x v="3"/>
    <x v="1"/>
    <x v="3"/>
    <n v="6"/>
    <n v="12000"/>
    <n v="72000"/>
    <n v="55228.84"/>
    <n v="16771.16"/>
    <x v="3"/>
  </r>
  <r>
    <x v="388"/>
    <x v="235"/>
    <x v="0"/>
    <x v="2"/>
    <x v="6"/>
    <n v="10"/>
    <n v="250"/>
    <n v="2500"/>
    <n v="1637.88"/>
    <n v="862.12"/>
    <x v="2"/>
  </r>
  <r>
    <x v="389"/>
    <x v="147"/>
    <x v="3"/>
    <x v="2"/>
    <x v="5"/>
    <n v="7"/>
    <n v="500"/>
    <n v="3500"/>
    <n v="2282.02"/>
    <n v="1217.98"/>
    <x v="5"/>
  </r>
  <r>
    <x v="390"/>
    <x v="194"/>
    <x v="4"/>
    <x v="1"/>
    <x v="3"/>
    <n v="7"/>
    <n v="500"/>
    <n v="3500"/>
    <n v="2925.21"/>
    <n v="574.79"/>
    <x v="1"/>
  </r>
  <r>
    <x v="391"/>
    <x v="22"/>
    <x v="1"/>
    <x v="0"/>
    <x v="0"/>
    <n v="10"/>
    <n v="2500"/>
    <n v="25000"/>
    <n v="15324.36"/>
    <n v="9675.64"/>
    <x v="0"/>
  </r>
  <r>
    <x v="392"/>
    <x v="226"/>
    <x v="1"/>
    <x v="2"/>
    <x v="6"/>
    <n v="4"/>
    <n v="1200"/>
    <n v="4800"/>
    <n v="3980.11"/>
    <n v="819.89"/>
    <x v="2"/>
  </r>
  <r>
    <x v="393"/>
    <x v="95"/>
    <x v="0"/>
    <x v="0"/>
    <x v="8"/>
    <n v="3"/>
    <n v="5000"/>
    <n v="15000"/>
    <n v="9839.8700000000008"/>
    <n v="5160.13"/>
    <x v="0"/>
  </r>
  <r>
    <x v="394"/>
    <x v="184"/>
    <x v="2"/>
    <x v="2"/>
    <x v="4"/>
    <n v="2"/>
    <n v="1200"/>
    <n v="2400"/>
    <n v="2152.19"/>
    <n v="247.81"/>
    <x v="2"/>
  </r>
  <r>
    <x v="395"/>
    <x v="206"/>
    <x v="2"/>
    <x v="0"/>
    <x v="7"/>
    <n v="7"/>
    <n v="2500"/>
    <n v="17500"/>
    <n v="9850.19"/>
    <n v="7649.81"/>
    <x v="5"/>
  </r>
  <r>
    <x v="396"/>
    <x v="57"/>
    <x v="4"/>
    <x v="0"/>
    <x v="0"/>
    <n v="2"/>
    <n v="12000"/>
    <n v="24000"/>
    <n v="15285.14"/>
    <n v="8714.86"/>
    <x v="4"/>
  </r>
  <r>
    <x v="397"/>
    <x v="164"/>
    <x v="3"/>
    <x v="0"/>
    <x v="7"/>
    <n v="1"/>
    <n v="2500"/>
    <n v="2500"/>
    <n v="2235.66"/>
    <n v="264.33999999999997"/>
    <x v="3"/>
  </r>
  <r>
    <x v="398"/>
    <x v="209"/>
    <x v="2"/>
    <x v="2"/>
    <x v="5"/>
    <n v="1"/>
    <n v="150"/>
    <n v="150"/>
    <n v="96.08"/>
    <n v="53.92"/>
    <x v="5"/>
  </r>
  <r>
    <x v="399"/>
    <x v="236"/>
    <x v="3"/>
    <x v="0"/>
    <x v="7"/>
    <n v="10"/>
    <n v="250"/>
    <n v="2500"/>
    <n v="1765.06"/>
    <n v="734.94"/>
    <x v="0"/>
  </r>
  <r>
    <x v="400"/>
    <x v="237"/>
    <x v="3"/>
    <x v="0"/>
    <x v="7"/>
    <n v="9"/>
    <n v="250"/>
    <n v="2250"/>
    <n v="1509.16"/>
    <n v="740.84"/>
    <x v="1"/>
  </r>
  <r>
    <x v="401"/>
    <x v="238"/>
    <x v="4"/>
    <x v="2"/>
    <x v="4"/>
    <n v="2"/>
    <n v="150"/>
    <n v="300"/>
    <n v="252.29"/>
    <n v="47.71"/>
    <x v="3"/>
  </r>
  <r>
    <x v="402"/>
    <x v="63"/>
    <x v="1"/>
    <x v="2"/>
    <x v="4"/>
    <n v="4"/>
    <n v="2500"/>
    <n v="10000"/>
    <n v="7190.24"/>
    <n v="2809.76"/>
    <x v="2"/>
  </r>
  <r>
    <x v="403"/>
    <x v="239"/>
    <x v="1"/>
    <x v="0"/>
    <x v="7"/>
    <n v="8"/>
    <n v="500"/>
    <n v="4000"/>
    <n v="2294.04"/>
    <n v="1705.96"/>
    <x v="1"/>
  </r>
  <r>
    <x v="404"/>
    <x v="240"/>
    <x v="2"/>
    <x v="2"/>
    <x v="6"/>
    <n v="2"/>
    <n v="5000"/>
    <n v="10000"/>
    <n v="8300.18"/>
    <n v="1699.82"/>
    <x v="4"/>
  </r>
  <r>
    <x v="405"/>
    <x v="10"/>
    <x v="0"/>
    <x v="0"/>
    <x v="0"/>
    <n v="6"/>
    <n v="2500"/>
    <n v="15000"/>
    <n v="10488.44"/>
    <n v="4511.5600000000004"/>
    <x v="2"/>
  </r>
  <r>
    <x v="406"/>
    <x v="241"/>
    <x v="1"/>
    <x v="0"/>
    <x v="0"/>
    <n v="3"/>
    <n v="5000"/>
    <n v="15000"/>
    <n v="11700.87"/>
    <n v="3299.13"/>
    <x v="0"/>
  </r>
  <r>
    <x v="407"/>
    <x v="242"/>
    <x v="0"/>
    <x v="0"/>
    <x v="0"/>
    <n v="8"/>
    <n v="2500"/>
    <n v="20000"/>
    <n v="14006.87"/>
    <n v="5993.13"/>
    <x v="4"/>
  </r>
  <r>
    <x v="408"/>
    <x v="54"/>
    <x v="0"/>
    <x v="2"/>
    <x v="6"/>
    <n v="2"/>
    <n v="2500"/>
    <n v="5000"/>
    <n v="2928.07"/>
    <n v="2071.9299999999998"/>
    <x v="3"/>
  </r>
  <r>
    <x v="409"/>
    <x v="243"/>
    <x v="2"/>
    <x v="2"/>
    <x v="5"/>
    <n v="8"/>
    <n v="150"/>
    <n v="1200"/>
    <n v="770.19"/>
    <n v="429.81"/>
    <x v="0"/>
  </r>
  <r>
    <x v="410"/>
    <x v="79"/>
    <x v="4"/>
    <x v="2"/>
    <x v="6"/>
    <n v="7"/>
    <n v="2500"/>
    <n v="17500"/>
    <n v="12029.33"/>
    <n v="5470.67"/>
    <x v="3"/>
  </r>
  <r>
    <x v="411"/>
    <x v="212"/>
    <x v="2"/>
    <x v="2"/>
    <x v="6"/>
    <n v="3"/>
    <n v="12000"/>
    <n v="36000"/>
    <n v="28287.22"/>
    <n v="7712.78"/>
    <x v="5"/>
  </r>
  <r>
    <x v="412"/>
    <x v="244"/>
    <x v="1"/>
    <x v="1"/>
    <x v="1"/>
    <n v="3"/>
    <n v="500"/>
    <n v="1500"/>
    <n v="886.88"/>
    <n v="613.12"/>
    <x v="4"/>
  </r>
  <r>
    <x v="413"/>
    <x v="134"/>
    <x v="0"/>
    <x v="2"/>
    <x v="6"/>
    <n v="3"/>
    <n v="2500"/>
    <n v="7500"/>
    <n v="5144.72"/>
    <n v="2355.2800000000002"/>
    <x v="5"/>
  </r>
  <r>
    <x v="414"/>
    <x v="147"/>
    <x v="0"/>
    <x v="2"/>
    <x v="4"/>
    <n v="3"/>
    <n v="1200"/>
    <n v="3600"/>
    <n v="2780.73"/>
    <n v="819.27"/>
    <x v="5"/>
  </r>
  <r>
    <x v="415"/>
    <x v="181"/>
    <x v="2"/>
    <x v="1"/>
    <x v="3"/>
    <n v="5"/>
    <n v="250"/>
    <n v="1250"/>
    <n v="769.36"/>
    <n v="480.64"/>
    <x v="1"/>
  </r>
  <r>
    <x v="416"/>
    <x v="64"/>
    <x v="2"/>
    <x v="2"/>
    <x v="5"/>
    <n v="8"/>
    <n v="250"/>
    <n v="2000"/>
    <n v="1236.5899999999999"/>
    <n v="763.41"/>
    <x v="5"/>
  </r>
  <r>
    <x v="417"/>
    <x v="245"/>
    <x v="3"/>
    <x v="0"/>
    <x v="8"/>
    <n v="7"/>
    <n v="5000"/>
    <n v="35000"/>
    <n v="25273.64"/>
    <n v="9726.36"/>
    <x v="2"/>
  </r>
  <r>
    <x v="418"/>
    <x v="246"/>
    <x v="4"/>
    <x v="1"/>
    <x v="2"/>
    <n v="10"/>
    <n v="150"/>
    <n v="1500"/>
    <n v="1242.8399999999999"/>
    <n v="257.16000000000003"/>
    <x v="1"/>
  </r>
  <r>
    <x v="419"/>
    <x v="176"/>
    <x v="2"/>
    <x v="2"/>
    <x v="5"/>
    <n v="9"/>
    <n v="500"/>
    <n v="4500"/>
    <n v="2739.93"/>
    <n v="1760.07"/>
    <x v="0"/>
  </r>
  <r>
    <x v="420"/>
    <x v="247"/>
    <x v="2"/>
    <x v="2"/>
    <x v="6"/>
    <n v="9"/>
    <n v="150"/>
    <n v="1350"/>
    <n v="1013.11"/>
    <n v="336.89"/>
    <x v="3"/>
  </r>
  <r>
    <x v="421"/>
    <x v="149"/>
    <x v="1"/>
    <x v="0"/>
    <x v="0"/>
    <n v="8"/>
    <n v="2500"/>
    <n v="20000"/>
    <n v="12529.79"/>
    <n v="7470.21"/>
    <x v="0"/>
  </r>
  <r>
    <x v="422"/>
    <x v="181"/>
    <x v="4"/>
    <x v="0"/>
    <x v="0"/>
    <n v="5"/>
    <n v="12000"/>
    <n v="60000"/>
    <n v="53985.57"/>
    <n v="6014.43"/>
    <x v="3"/>
  </r>
  <r>
    <x v="423"/>
    <x v="248"/>
    <x v="2"/>
    <x v="1"/>
    <x v="3"/>
    <n v="2"/>
    <n v="12000"/>
    <n v="24000"/>
    <n v="20019.87"/>
    <n v="3980.13"/>
    <x v="0"/>
  </r>
  <r>
    <x v="424"/>
    <x v="220"/>
    <x v="0"/>
    <x v="2"/>
    <x v="6"/>
    <n v="10"/>
    <n v="5000"/>
    <n v="50000"/>
    <n v="34992.92"/>
    <n v="15007.08"/>
    <x v="4"/>
  </r>
  <r>
    <x v="425"/>
    <x v="134"/>
    <x v="2"/>
    <x v="1"/>
    <x v="2"/>
    <n v="10"/>
    <n v="500"/>
    <n v="5000"/>
    <n v="3681.49"/>
    <n v="1318.51"/>
    <x v="4"/>
  </r>
  <r>
    <x v="426"/>
    <x v="249"/>
    <x v="1"/>
    <x v="2"/>
    <x v="6"/>
    <n v="5"/>
    <n v="500"/>
    <n v="2500"/>
    <n v="1876.14"/>
    <n v="623.86"/>
    <x v="4"/>
  </r>
  <r>
    <x v="427"/>
    <x v="98"/>
    <x v="0"/>
    <x v="2"/>
    <x v="5"/>
    <n v="5"/>
    <n v="12000"/>
    <n v="60000"/>
    <n v="46773.82"/>
    <n v="13226.18"/>
    <x v="4"/>
  </r>
  <r>
    <x v="428"/>
    <x v="164"/>
    <x v="3"/>
    <x v="1"/>
    <x v="1"/>
    <n v="6"/>
    <n v="12000"/>
    <n v="72000"/>
    <n v="45838.38"/>
    <n v="26161.62"/>
    <x v="2"/>
  </r>
  <r>
    <x v="429"/>
    <x v="24"/>
    <x v="1"/>
    <x v="1"/>
    <x v="1"/>
    <n v="5"/>
    <n v="5000"/>
    <n v="25000"/>
    <n v="17374.47"/>
    <n v="7625.53"/>
    <x v="0"/>
  </r>
  <r>
    <x v="430"/>
    <x v="145"/>
    <x v="3"/>
    <x v="1"/>
    <x v="3"/>
    <n v="9"/>
    <n v="5000"/>
    <n v="45000"/>
    <n v="29132.05"/>
    <n v="15867.95"/>
    <x v="2"/>
  </r>
  <r>
    <x v="431"/>
    <x v="250"/>
    <x v="3"/>
    <x v="2"/>
    <x v="6"/>
    <n v="1"/>
    <n v="12000"/>
    <n v="12000"/>
    <n v="9851.3700000000008"/>
    <n v="2148.63"/>
    <x v="0"/>
  </r>
  <r>
    <x v="432"/>
    <x v="251"/>
    <x v="3"/>
    <x v="0"/>
    <x v="7"/>
    <n v="6"/>
    <n v="12000"/>
    <n v="72000"/>
    <n v="41195.93"/>
    <n v="30804.07"/>
    <x v="4"/>
  </r>
  <r>
    <x v="433"/>
    <x v="252"/>
    <x v="4"/>
    <x v="2"/>
    <x v="5"/>
    <n v="8"/>
    <n v="500"/>
    <n v="4000"/>
    <n v="2652.01"/>
    <n v="1347.99"/>
    <x v="5"/>
  </r>
  <r>
    <x v="434"/>
    <x v="199"/>
    <x v="1"/>
    <x v="0"/>
    <x v="0"/>
    <n v="10"/>
    <n v="12000"/>
    <n v="120000"/>
    <n v="86384.19"/>
    <n v="33615.81"/>
    <x v="1"/>
  </r>
  <r>
    <x v="435"/>
    <x v="17"/>
    <x v="3"/>
    <x v="1"/>
    <x v="1"/>
    <n v="8"/>
    <n v="150"/>
    <n v="1200"/>
    <n v="712.18"/>
    <n v="487.82"/>
    <x v="2"/>
  </r>
  <r>
    <x v="436"/>
    <x v="117"/>
    <x v="4"/>
    <x v="1"/>
    <x v="3"/>
    <n v="4"/>
    <n v="5000"/>
    <n v="20000"/>
    <n v="17365.849999999999"/>
    <n v="2634.15"/>
    <x v="4"/>
  </r>
  <r>
    <x v="437"/>
    <x v="57"/>
    <x v="0"/>
    <x v="2"/>
    <x v="5"/>
    <n v="6"/>
    <n v="500"/>
    <n v="3000"/>
    <n v="1736.54"/>
    <n v="1263.46"/>
    <x v="1"/>
  </r>
  <r>
    <x v="438"/>
    <x v="253"/>
    <x v="3"/>
    <x v="2"/>
    <x v="6"/>
    <n v="5"/>
    <n v="5000"/>
    <n v="25000"/>
    <n v="19870.11"/>
    <n v="5129.8900000000003"/>
    <x v="0"/>
  </r>
  <r>
    <x v="439"/>
    <x v="151"/>
    <x v="0"/>
    <x v="1"/>
    <x v="1"/>
    <n v="2"/>
    <n v="150"/>
    <n v="300"/>
    <n v="187.41"/>
    <n v="112.59"/>
    <x v="5"/>
  </r>
  <r>
    <x v="440"/>
    <x v="199"/>
    <x v="1"/>
    <x v="1"/>
    <x v="1"/>
    <n v="8"/>
    <n v="150"/>
    <n v="1200"/>
    <n v="663.39"/>
    <n v="536.61"/>
    <x v="2"/>
  </r>
  <r>
    <x v="441"/>
    <x v="202"/>
    <x v="1"/>
    <x v="0"/>
    <x v="0"/>
    <n v="8"/>
    <n v="150"/>
    <n v="1200"/>
    <n v="756.16"/>
    <n v="443.84"/>
    <x v="1"/>
  </r>
  <r>
    <x v="442"/>
    <x v="254"/>
    <x v="0"/>
    <x v="2"/>
    <x v="4"/>
    <n v="5"/>
    <n v="250"/>
    <n v="1250"/>
    <n v="854.94"/>
    <n v="395.06"/>
    <x v="1"/>
  </r>
  <r>
    <x v="443"/>
    <x v="255"/>
    <x v="4"/>
    <x v="0"/>
    <x v="7"/>
    <n v="1"/>
    <n v="2500"/>
    <n v="2500"/>
    <n v="1943.77"/>
    <n v="556.23"/>
    <x v="0"/>
  </r>
  <r>
    <x v="444"/>
    <x v="67"/>
    <x v="0"/>
    <x v="1"/>
    <x v="1"/>
    <n v="3"/>
    <n v="1200"/>
    <n v="3600"/>
    <n v="2756.26"/>
    <n v="843.74"/>
    <x v="1"/>
  </r>
  <r>
    <x v="445"/>
    <x v="160"/>
    <x v="3"/>
    <x v="1"/>
    <x v="2"/>
    <n v="2"/>
    <n v="2500"/>
    <n v="5000"/>
    <n v="4027.52"/>
    <n v="972.48"/>
    <x v="3"/>
  </r>
  <r>
    <x v="446"/>
    <x v="42"/>
    <x v="2"/>
    <x v="1"/>
    <x v="2"/>
    <n v="5"/>
    <n v="5000"/>
    <n v="25000"/>
    <n v="14487.18"/>
    <n v="10512.82"/>
    <x v="5"/>
  </r>
  <r>
    <x v="447"/>
    <x v="80"/>
    <x v="4"/>
    <x v="0"/>
    <x v="7"/>
    <n v="5"/>
    <n v="12000"/>
    <n v="60000"/>
    <n v="52766.86"/>
    <n v="7233.14"/>
    <x v="4"/>
  </r>
  <r>
    <x v="448"/>
    <x v="204"/>
    <x v="1"/>
    <x v="0"/>
    <x v="7"/>
    <n v="9"/>
    <n v="250"/>
    <n v="2250"/>
    <n v="1826.43"/>
    <n v="423.57"/>
    <x v="4"/>
  </r>
  <r>
    <x v="449"/>
    <x v="256"/>
    <x v="1"/>
    <x v="2"/>
    <x v="4"/>
    <n v="2"/>
    <n v="250"/>
    <n v="500"/>
    <n v="362.43"/>
    <n v="137.57"/>
    <x v="5"/>
  </r>
  <r>
    <x v="450"/>
    <x v="37"/>
    <x v="3"/>
    <x v="1"/>
    <x v="3"/>
    <n v="6"/>
    <n v="250"/>
    <n v="1500"/>
    <n v="1028.0899999999999"/>
    <n v="471.91"/>
    <x v="3"/>
  </r>
  <r>
    <x v="451"/>
    <x v="40"/>
    <x v="1"/>
    <x v="0"/>
    <x v="7"/>
    <n v="3"/>
    <n v="12000"/>
    <n v="36000"/>
    <n v="25734.78"/>
    <n v="10265.219999999999"/>
    <x v="5"/>
  </r>
  <r>
    <x v="452"/>
    <x v="32"/>
    <x v="3"/>
    <x v="1"/>
    <x v="2"/>
    <n v="5"/>
    <n v="250"/>
    <n v="1250"/>
    <n v="704.92"/>
    <n v="545.08000000000004"/>
    <x v="5"/>
  </r>
  <r>
    <x v="453"/>
    <x v="98"/>
    <x v="3"/>
    <x v="2"/>
    <x v="6"/>
    <n v="9"/>
    <n v="12000"/>
    <n v="108000"/>
    <n v="75103.33"/>
    <n v="32896.67"/>
    <x v="1"/>
  </r>
  <r>
    <x v="454"/>
    <x v="257"/>
    <x v="4"/>
    <x v="0"/>
    <x v="7"/>
    <n v="9"/>
    <n v="2500"/>
    <n v="22500"/>
    <n v="13577.36"/>
    <n v="8922.64"/>
    <x v="1"/>
  </r>
  <r>
    <x v="455"/>
    <x v="228"/>
    <x v="1"/>
    <x v="0"/>
    <x v="0"/>
    <n v="3"/>
    <n v="2500"/>
    <n v="7500"/>
    <n v="4982.72"/>
    <n v="2517.2800000000002"/>
    <x v="3"/>
  </r>
  <r>
    <x v="456"/>
    <x v="258"/>
    <x v="1"/>
    <x v="0"/>
    <x v="8"/>
    <n v="4"/>
    <n v="150"/>
    <n v="600"/>
    <n v="381.34"/>
    <n v="218.66"/>
    <x v="2"/>
  </r>
  <r>
    <x v="457"/>
    <x v="259"/>
    <x v="0"/>
    <x v="0"/>
    <x v="7"/>
    <n v="1"/>
    <n v="500"/>
    <n v="500"/>
    <n v="391.56"/>
    <n v="108.44"/>
    <x v="1"/>
  </r>
  <r>
    <x v="458"/>
    <x v="177"/>
    <x v="4"/>
    <x v="1"/>
    <x v="1"/>
    <n v="3"/>
    <n v="5000"/>
    <n v="15000"/>
    <n v="8309.59"/>
    <n v="6690.41"/>
    <x v="5"/>
  </r>
  <r>
    <x v="459"/>
    <x v="247"/>
    <x v="1"/>
    <x v="0"/>
    <x v="7"/>
    <n v="5"/>
    <n v="250"/>
    <n v="1250"/>
    <n v="850.19"/>
    <n v="399.81"/>
    <x v="1"/>
  </r>
  <r>
    <x v="460"/>
    <x v="260"/>
    <x v="2"/>
    <x v="2"/>
    <x v="4"/>
    <n v="5"/>
    <n v="2500"/>
    <n v="12500"/>
    <n v="7154.44"/>
    <n v="5345.56"/>
    <x v="0"/>
  </r>
  <r>
    <x v="461"/>
    <x v="107"/>
    <x v="2"/>
    <x v="1"/>
    <x v="3"/>
    <n v="8"/>
    <n v="2500"/>
    <n v="20000"/>
    <n v="13520.87"/>
    <n v="6479.13"/>
    <x v="4"/>
  </r>
  <r>
    <x v="462"/>
    <x v="94"/>
    <x v="1"/>
    <x v="2"/>
    <x v="5"/>
    <n v="5"/>
    <n v="12000"/>
    <n v="60000"/>
    <n v="35161"/>
    <n v="24839"/>
    <x v="4"/>
  </r>
  <r>
    <x v="463"/>
    <x v="221"/>
    <x v="0"/>
    <x v="0"/>
    <x v="7"/>
    <n v="1"/>
    <n v="150"/>
    <n v="150"/>
    <n v="127.58"/>
    <n v="22.42"/>
    <x v="1"/>
  </r>
  <r>
    <x v="464"/>
    <x v="261"/>
    <x v="2"/>
    <x v="2"/>
    <x v="4"/>
    <n v="7"/>
    <n v="250"/>
    <n v="1750"/>
    <n v="1072.1099999999999"/>
    <n v="677.89"/>
    <x v="0"/>
  </r>
  <r>
    <x v="465"/>
    <x v="262"/>
    <x v="4"/>
    <x v="0"/>
    <x v="7"/>
    <n v="7"/>
    <n v="250"/>
    <n v="1750"/>
    <n v="1159.5999999999999"/>
    <n v="590.4"/>
    <x v="3"/>
  </r>
  <r>
    <x v="466"/>
    <x v="77"/>
    <x v="0"/>
    <x v="1"/>
    <x v="1"/>
    <n v="6"/>
    <n v="150"/>
    <n v="900"/>
    <n v="653.14"/>
    <n v="246.86"/>
    <x v="4"/>
  </r>
  <r>
    <x v="467"/>
    <x v="166"/>
    <x v="4"/>
    <x v="0"/>
    <x v="0"/>
    <n v="7"/>
    <n v="150"/>
    <n v="1050"/>
    <n v="899.79"/>
    <n v="150.21"/>
    <x v="3"/>
  </r>
  <r>
    <x v="468"/>
    <x v="263"/>
    <x v="2"/>
    <x v="1"/>
    <x v="1"/>
    <n v="8"/>
    <n v="150"/>
    <n v="1200"/>
    <n v="814.95"/>
    <n v="385.05"/>
    <x v="3"/>
  </r>
  <r>
    <x v="469"/>
    <x v="203"/>
    <x v="0"/>
    <x v="0"/>
    <x v="7"/>
    <n v="4"/>
    <n v="1200"/>
    <n v="4800"/>
    <n v="3258.7"/>
    <n v="1541.3"/>
    <x v="0"/>
  </r>
  <r>
    <x v="470"/>
    <x v="237"/>
    <x v="0"/>
    <x v="0"/>
    <x v="0"/>
    <n v="3"/>
    <n v="150"/>
    <n v="450"/>
    <n v="394.35"/>
    <n v="55.65"/>
    <x v="5"/>
  </r>
  <r>
    <x v="471"/>
    <x v="259"/>
    <x v="3"/>
    <x v="2"/>
    <x v="6"/>
    <n v="1"/>
    <n v="500"/>
    <n v="500"/>
    <n v="275.26"/>
    <n v="224.74"/>
    <x v="0"/>
  </r>
  <r>
    <x v="472"/>
    <x v="31"/>
    <x v="3"/>
    <x v="0"/>
    <x v="8"/>
    <n v="2"/>
    <n v="250"/>
    <n v="500"/>
    <n v="367.72"/>
    <n v="132.28"/>
    <x v="2"/>
  </r>
  <r>
    <x v="473"/>
    <x v="264"/>
    <x v="2"/>
    <x v="1"/>
    <x v="2"/>
    <n v="5"/>
    <n v="150"/>
    <n v="750"/>
    <n v="424.02"/>
    <n v="325.98"/>
    <x v="2"/>
  </r>
  <r>
    <x v="474"/>
    <x v="265"/>
    <x v="2"/>
    <x v="0"/>
    <x v="8"/>
    <n v="8"/>
    <n v="5000"/>
    <n v="40000"/>
    <n v="23188.63"/>
    <n v="16811.37"/>
    <x v="4"/>
  </r>
  <r>
    <x v="475"/>
    <x v="258"/>
    <x v="0"/>
    <x v="0"/>
    <x v="8"/>
    <n v="2"/>
    <n v="2500"/>
    <n v="5000"/>
    <n v="3743.69"/>
    <n v="1256.31"/>
    <x v="4"/>
  </r>
  <r>
    <x v="476"/>
    <x v="266"/>
    <x v="4"/>
    <x v="2"/>
    <x v="4"/>
    <n v="6"/>
    <n v="12000"/>
    <n v="72000"/>
    <n v="49502.41"/>
    <n v="22497.59"/>
    <x v="2"/>
  </r>
  <r>
    <x v="477"/>
    <x v="267"/>
    <x v="1"/>
    <x v="2"/>
    <x v="5"/>
    <n v="2"/>
    <n v="250"/>
    <n v="500"/>
    <n v="298.82"/>
    <n v="201.18"/>
    <x v="4"/>
  </r>
  <r>
    <x v="478"/>
    <x v="90"/>
    <x v="2"/>
    <x v="1"/>
    <x v="2"/>
    <n v="8"/>
    <n v="1200"/>
    <n v="9600"/>
    <n v="6335.15"/>
    <n v="3264.85"/>
    <x v="3"/>
  </r>
  <r>
    <x v="479"/>
    <x v="90"/>
    <x v="1"/>
    <x v="1"/>
    <x v="3"/>
    <n v="5"/>
    <n v="1200"/>
    <n v="6000"/>
    <n v="3856.52"/>
    <n v="2143.48"/>
    <x v="4"/>
  </r>
  <r>
    <x v="480"/>
    <x v="266"/>
    <x v="0"/>
    <x v="0"/>
    <x v="8"/>
    <n v="10"/>
    <n v="150"/>
    <n v="1500"/>
    <n v="937.89"/>
    <n v="562.11"/>
    <x v="1"/>
  </r>
  <r>
    <x v="481"/>
    <x v="164"/>
    <x v="4"/>
    <x v="0"/>
    <x v="0"/>
    <n v="6"/>
    <n v="1200"/>
    <n v="7200"/>
    <n v="5253.92"/>
    <n v="1946.08"/>
    <x v="3"/>
  </r>
  <r>
    <x v="482"/>
    <x v="22"/>
    <x v="0"/>
    <x v="1"/>
    <x v="2"/>
    <n v="7"/>
    <n v="12000"/>
    <n v="84000"/>
    <n v="59494.71"/>
    <n v="24505.29"/>
    <x v="1"/>
  </r>
  <r>
    <x v="483"/>
    <x v="137"/>
    <x v="0"/>
    <x v="2"/>
    <x v="5"/>
    <n v="3"/>
    <n v="150"/>
    <n v="450"/>
    <n v="249.38"/>
    <n v="200.62"/>
    <x v="4"/>
  </r>
  <r>
    <x v="484"/>
    <x v="125"/>
    <x v="1"/>
    <x v="2"/>
    <x v="4"/>
    <n v="2"/>
    <n v="2500"/>
    <n v="5000"/>
    <n v="3775.71"/>
    <n v="1224.29"/>
    <x v="1"/>
  </r>
  <r>
    <x v="485"/>
    <x v="225"/>
    <x v="1"/>
    <x v="1"/>
    <x v="1"/>
    <n v="8"/>
    <n v="12000"/>
    <n v="96000"/>
    <n v="57127.4"/>
    <n v="38872.6"/>
    <x v="1"/>
  </r>
  <r>
    <x v="486"/>
    <x v="241"/>
    <x v="3"/>
    <x v="2"/>
    <x v="5"/>
    <n v="3"/>
    <n v="2500"/>
    <n v="7500"/>
    <n v="5262.04"/>
    <n v="2237.96"/>
    <x v="1"/>
  </r>
  <r>
    <x v="487"/>
    <x v="268"/>
    <x v="4"/>
    <x v="2"/>
    <x v="6"/>
    <n v="7"/>
    <n v="250"/>
    <n v="1750"/>
    <n v="1179.29"/>
    <n v="570.71"/>
    <x v="3"/>
  </r>
  <r>
    <x v="488"/>
    <x v="85"/>
    <x v="4"/>
    <x v="2"/>
    <x v="5"/>
    <n v="1"/>
    <n v="2500"/>
    <n v="2500"/>
    <n v="1916.78"/>
    <n v="583.22"/>
    <x v="2"/>
  </r>
  <r>
    <x v="489"/>
    <x v="64"/>
    <x v="0"/>
    <x v="2"/>
    <x v="6"/>
    <n v="8"/>
    <n v="150"/>
    <n v="1200"/>
    <n v="696.84"/>
    <n v="503.16"/>
    <x v="2"/>
  </r>
  <r>
    <x v="490"/>
    <x v="227"/>
    <x v="1"/>
    <x v="1"/>
    <x v="1"/>
    <n v="9"/>
    <n v="250"/>
    <n v="2250"/>
    <n v="1734.22"/>
    <n v="515.78"/>
    <x v="2"/>
  </r>
  <r>
    <x v="491"/>
    <x v="269"/>
    <x v="2"/>
    <x v="0"/>
    <x v="8"/>
    <n v="8"/>
    <n v="2500"/>
    <n v="20000"/>
    <n v="16470.05"/>
    <n v="3529.95"/>
    <x v="5"/>
  </r>
  <r>
    <x v="492"/>
    <x v="134"/>
    <x v="0"/>
    <x v="2"/>
    <x v="4"/>
    <n v="5"/>
    <n v="250"/>
    <n v="1250"/>
    <n v="698.9"/>
    <n v="551.1"/>
    <x v="1"/>
  </r>
  <r>
    <x v="493"/>
    <x v="267"/>
    <x v="0"/>
    <x v="2"/>
    <x v="5"/>
    <n v="8"/>
    <n v="2500"/>
    <n v="20000"/>
    <n v="13502.03"/>
    <n v="6497.97"/>
    <x v="4"/>
  </r>
  <r>
    <x v="494"/>
    <x v="11"/>
    <x v="0"/>
    <x v="1"/>
    <x v="2"/>
    <n v="4"/>
    <n v="500"/>
    <n v="2000"/>
    <n v="1473.58"/>
    <n v="526.41999999999996"/>
    <x v="5"/>
  </r>
  <r>
    <x v="495"/>
    <x v="270"/>
    <x v="4"/>
    <x v="2"/>
    <x v="4"/>
    <n v="3"/>
    <n v="250"/>
    <n v="750"/>
    <n v="474.59"/>
    <n v="275.41000000000003"/>
    <x v="5"/>
  </r>
  <r>
    <x v="496"/>
    <x v="271"/>
    <x v="0"/>
    <x v="1"/>
    <x v="1"/>
    <n v="6"/>
    <n v="2500"/>
    <n v="15000"/>
    <n v="11208.93"/>
    <n v="3791.07"/>
    <x v="2"/>
  </r>
  <r>
    <x v="497"/>
    <x v="11"/>
    <x v="0"/>
    <x v="0"/>
    <x v="8"/>
    <n v="3"/>
    <n v="1200"/>
    <n v="3600"/>
    <n v="2027.83"/>
    <n v="1572.17"/>
    <x v="5"/>
  </r>
  <r>
    <x v="498"/>
    <x v="172"/>
    <x v="0"/>
    <x v="1"/>
    <x v="2"/>
    <n v="9"/>
    <n v="1200"/>
    <n v="10800"/>
    <n v="5942.58"/>
    <n v="4857.42"/>
    <x v="4"/>
  </r>
  <r>
    <x v="499"/>
    <x v="272"/>
    <x v="1"/>
    <x v="2"/>
    <x v="6"/>
    <n v="3"/>
    <n v="12000"/>
    <n v="36000"/>
    <n v="30437.98"/>
    <n v="5562.02"/>
    <x v="1"/>
  </r>
  <r>
    <x v="500"/>
    <x v="162"/>
    <x v="4"/>
    <x v="1"/>
    <x v="1"/>
    <n v="3"/>
    <n v="12000"/>
    <n v="36000"/>
    <n v="21197.599999999999"/>
    <n v="14802.4"/>
    <x v="1"/>
  </r>
  <r>
    <x v="501"/>
    <x v="121"/>
    <x v="4"/>
    <x v="2"/>
    <x v="6"/>
    <n v="7"/>
    <n v="2500"/>
    <n v="17500"/>
    <n v="10243.82"/>
    <n v="7256.18"/>
    <x v="4"/>
  </r>
  <r>
    <x v="502"/>
    <x v="118"/>
    <x v="4"/>
    <x v="1"/>
    <x v="1"/>
    <n v="7"/>
    <n v="12000"/>
    <n v="84000"/>
    <n v="64994.42"/>
    <n v="19005.580000000002"/>
    <x v="4"/>
  </r>
  <r>
    <x v="503"/>
    <x v="57"/>
    <x v="2"/>
    <x v="0"/>
    <x v="7"/>
    <n v="10"/>
    <n v="12000"/>
    <n v="120000"/>
    <n v="80986.67"/>
    <n v="39013.33"/>
    <x v="4"/>
  </r>
  <r>
    <x v="504"/>
    <x v="273"/>
    <x v="2"/>
    <x v="2"/>
    <x v="4"/>
    <n v="5"/>
    <n v="250"/>
    <n v="1250"/>
    <n v="765.25"/>
    <n v="484.75"/>
    <x v="2"/>
  </r>
  <r>
    <x v="505"/>
    <x v="195"/>
    <x v="0"/>
    <x v="0"/>
    <x v="0"/>
    <n v="3"/>
    <n v="2500"/>
    <n v="7500"/>
    <n v="4960.32"/>
    <n v="2539.6799999999998"/>
    <x v="0"/>
  </r>
  <r>
    <x v="506"/>
    <x v="151"/>
    <x v="0"/>
    <x v="0"/>
    <x v="0"/>
    <n v="8"/>
    <n v="250"/>
    <n v="2000"/>
    <n v="1331.82"/>
    <n v="668.18"/>
    <x v="3"/>
  </r>
  <r>
    <x v="507"/>
    <x v="171"/>
    <x v="4"/>
    <x v="2"/>
    <x v="5"/>
    <n v="2"/>
    <n v="12000"/>
    <n v="24000"/>
    <n v="19155.310000000001"/>
    <n v="4844.6899999999996"/>
    <x v="2"/>
  </r>
  <r>
    <x v="508"/>
    <x v="160"/>
    <x v="4"/>
    <x v="1"/>
    <x v="3"/>
    <n v="4"/>
    <n v="250"/>
    <n v="1000"/>
    <n v="792.61"/>
    <n v="207.39"/>
    <x v="1"/>
  </r>
  <r>
    <x v="509"/>
    <x v="73"/>
    <x v="0"/>
    <x v="0"/>
    <x v="0"/>
    <n v="1"/>
    <n v="1200"/>
    <n v="1200"/>
    <n v="844.05"/>
    <n v="355.95"/>
    <x v="2"/>
  </r>
  <r>
    <x v="510"/>
    <x v="184"/>
    <x v="2"/>
    <x v="2"/>
    <x v="4"/>
    <n v="6"/>
    <n v="2500"/>
    <n v="15000"/>
    <n v="10220.57"/>
    <n v="4779.43"/>
    <x v="0"/>
  </r>
  <r>
    <x v="511"/>
    <x v="123"/>
    <x v="4"/>
    <x v="0"/>
    <x v="0"/>
    <n v="3"/>
    <n v="1200"/>
    <n v="3600"/>
    <n v="2072.87"/>
    <n v="1527.13"/>
    <x v="1"/>
  </r>
  <r>
    <x v="512"/>
    <x v="274"/>
    <x v="0"/>
    <x v="2"/>
    <x v="4"/>
    <n v="2"/>
    <n v="150"/>
    <n v="300"/>
    <n v="200.89"/>
    <n v="99.11"/>
    <x v="0"/>
  </r>
  <r>
    <x v="513"/>
    <x v="172"/>
    <x v="3"/>
    <x v="1"/>
    <x v="1"/>
    <n v="2"/>
    <n v="500"/>
    <n v="1000"/>
    <n v="757.91"/>
    <n v="242.09"/>
    <x v="0"/>
  </r>
  <r>
    <x v="514"/>
    <x v="17"/>
    <x v="1"/>
    <x v="1"/>
    <x v="3"/>
    <n v="3"/>
    <n v="2500"/>
    <n v="7500"/>
    <n v="6460.6"/>
    <n v="1039.4000000000001"/>
    <x v="1"/>
  </r>
  <r>
    <x v="515"/>
    <x v="26"/>
    <x v="4"/>
    <x v="2"/>
    <x v="5"/>
    <n v="4"/>
    <n v="1200"/>
    <n v="4800"/>
    <n v="3811.29"/>
    <n v="988.71"/>
    <x v="0"/>
  </r>
  <r>
    <x v="516"/>
    <x v="275"/>
    <x v="2"/>
    <x v="2"/>
    <x v="4"/>
    <n v="4"/>
    <n v="150"/>
    <n v="600"/>
    <n v="340.42"/>
    <n v="259.58"/>
    <x v="2"/>
  </r>
  <r>
    <x v="517"/>
    <x v="6"/>
    <x v="2"/>
    <x v="1"/>
    <x v="2"/>
    <n v="6"/>
    <n v="150"/>
    <n v="900"/>
    <n v="629.70000000000005"/>
    <n v="270.3"/>
    <x v="2"/>
  </r>
  <r>
    <x v="518"/>
    <x v="263"/>
    <x v="1"/>
    <x v="1"/>
    <x v="2"/>
    <n v="1"/>
    <n v="250"/>
    <n v="250"/>
    <n v="152.44999999999999"/>
    <n v="97.55"/>
    <x v="2"/>
  </r>
  <r>
    <x v="519"/>
    <x v="178"/>
    <x v="4"/>
    <x v="1"/>
    <x v="3"/>
    <n v="7"/>
    <n v="1200"/>
    <n v="8400"/>
    <n v="6057.94"/>
    <n v="2342.06"/>
    <x v="1"/>
  </r>
  <r>
    <x v="520"/>
    <x v="15"/>
    <x v="4"/>
    <x v="0"/>
    <x v="7"/>
    <n v="7"/>
    <n v="250"/>
    <n v="1750"/>
    <n v="1189.75"/>
    <n v="560.25"/>
    <x v="4"/>
  </r>
  <r>
    <x v="521"/>
    <x v="187"/>
    <x v="4"/>
    <x v="2"/>
    <x v="5"/>
    <n v="5"/>
    <n v="1200"/>
    <n v="6000"/>
    <n v="4276.62"/>
    <n v="1723.38"/>
    <x v="5"/>
  </r>
  <r>
    <x v="522"/>
    <x v="210"/>
    <x v="3"/>
    <x v="1"/>
    <x v="2"/>
    <n v="2"/>
    <n v="150"/>
    <n v="300"/>
    <n v="235.15"/>
    <n v="64.849999999999994"/>
    <x v="5"/>
  </r>
  <r>
    <x v="523"/>
    <x v="276"/>
    <x v="3"/>
    <x v="1"/>
    <x v="1"/>
    <n v="1"/>
    <n v="12000"/>
    <n v="12000"/>
    <n v="8225.85"/>
    <n v="3774.15"/>
    <x v="5"/>
  </r>
  <r>
    <x v="524"/>
    <x v="170"/>
    <x v="3"/>
    <x v="0"/>
    <x v="8"/>
    <n v="10"/>
    <n v="250"/>
    <n v="2500"/>
    <n v="1791.73"/>
    <n v="708.27"/>
    <x v="0"/>
  </r>
  <r>
    <x v="525"/>
    <x v="164"/>
    <x v="2"/>
    <x v="1"/>
    <x v="1"/>
    <n v="10"/>
    <n v="2500"/>
    <n v="25000"/>
    <n v="20753.939999999999"/>
    <n v="4246.0600000000004"/>
    <x v="4"/>
  </r>
  <r>
    <x v="526"/>
    <x v="277"/>
    <x v="0"/>
    <x v="1"/>
    <x v="3"/>
    <n v="3"/>
    <n v="250"/>
    <n v="750"/>
    <n v="667.69"/>
    <n v="82.31"/>
    <x v="1"/>
  </r>
  <r>
    <x v="527"/>
    <x v="154"/>
    <x v="0"/>
    <x v="2"/>
    <x v="5"/>
    <n v="7"/>
    <n v="250"/>
    <n v="1750"/>
    <n v="1573.33"/>
    <n v="176.67"/>
    <x v="5"/>
  </r>
  <r>
    <x v="528"/>
    <x v="182"/>
    <x v="2"/>
    <x v="2"/>
    <x v="4"/>
    <n v="2"/>
    <n v="150"/>
    <n v="300"/>
    <n v="205.75"/>
    <n v="94.25"/>
    <x v="3"/>
  </r>
  <r>
    <x v="529"/>
    <x v="278"/>
    <x v="2"/>
    <x v="2"/>
    <x v="6"/>
    <n v="8"/>
    <n v="12000"/>
    <n v="96000"/>
    <n v="53215.42"/>
    <n v="42784.58"/>
    <x v="5"/>
  </r>
  <r>
    <x v="530"/>
    <x v="12"/>
    <x v="2"/>
    <x v="0"/>
    <x v="8"/>
    <n v="2"/>
    <n v="1200"/>
    <n v="2400"/>
    <n v="1445.7"/>
    <n v="954.3"/>
    <x v="5"/>
  </r>
  <r>
    <x v="531"/>
    <x v="33"/>
    <x v="2"/>
    <x v="1"/>
    <x v="2"/>
    <n v="10"/>
    <n v="12000"/>
    <n v="120000"/>
    <n v="70241.600000000006"/>
    <n v="49758.400000000001"/>
    <x v="3"/>
  </r>
  <r>
    <x v="532"/>
    <x v="279"/>
    <x v="3"/>
    <x v="2"/>
    <x v="4"/>
    <n v="7"/>
    <n v="5000"/>
    <n v="35000"/>
    <n v="25198.41"/>
    <n v="9801.59"/>
    <x v="1"/>
  </r>
  <r>
    <x v="533"/>
    <x v="16"/>
    <x v="3"/>
    <x v="1"/>
    <x v="3"/>
    <n v="7"/>
    <n v="250"/>
    <n v="1750"/>
    <n v="1341.17"/>
    <n v="408.83"/>
    <x v="1"/>
  </r>
  <r>
    <x v="534"/>
    <x v="247"/>
    <x v="4"/>
    <x v="2"/>
    <x v="4"/>
    <n v="4"/>
    <n v="150"/>
    <n v="600"/>
    <n v="486.61"/>
    <n v="113.39"/>
    <x v="1"/>
  </r>
  <r>
    <x v="535"/>
    <x v="216"/>
    <x v="1"/>
    <x v="2"/>
    <x v="4"/>
    <n v="5"/>
    <n v="500"/>
    <n v="2500"/>
    <n v="2112.4899999999998"/>
    <n v="387.51"/>
    <x v="4"/>
  </r>
  <r>
    <x v="536"/>
    <x v="247"/>
    <x v="3"/>
    <x v="1"/>
    <x v="3"/>
    <n v="8"/>
    <n v="12000"/>
    <n v="96000"/>
    <n v="80547.66"/>
    <n v="15452.34"/>
    <x v="5"/>
  </r>
  <r>
    <x v="537"/>
    <x v="27"/>
    <x v="3"/>
    <x v="0"/>
    <x v="0"/>
    <n v="4"/>
    <n v="1200"/>
    <n v="4800"/>
    <n v="2995.14"/>
    <n v="1804.86"/>
    <x v="5"/>
  </r>
  <r>
    <x v="538"/>
    <x v="280"/>
    <x v="2"/>
    <x v="2"/>
    <x v="5"/>
    <n v="9"/>
    <n v="12000"/>
    <n v="108000"/>
    <n v="65409.16"/>
    <n v="42590.84"/>
    <x v="2"/>
  </r>
  <r>
    <x v="539"/>
    <x v="281"/>
    <x v="1"/>
    <x v="1"/>
    <x v="1"/>
    <n v="10"/>
    <n v="150"/>
    <n v="1500"/>
    <n v="916.21"/>
    <n v="583.79"/>
    <x v="4"/>
  </r>
  <r>
    <x v="540"/>
    <x v="214"/>
    <x v="4"/>
    <x v="1"/>
    <x v="3"/>
    <n v="1"/>
    <n v="500"/>
    <n v="500"/>
    <n v="398.31"/>
    <n v="101.69"/>
    <x v="2"/>
  </r>
  <r>
    <x v="541"/>
    <x v="282"/>
    <x v="3"/>
    <x v="0"/>
    <x v="8"/>
    <n v="2"/>
    <n v="5000"/>
    <n v="10000"/>
    <n v="5606.97"/>
    <n v="4393.03"/>
    <x v="5"/>
  </r>
  <r>
    <x v="542"/>
    <x v="269"/>
    <x v="0"/>
    <x v="2"/>
    <x v="5"/>
    <n v="8"/>
    <n v="2500"/>
    <n v="20000"/>
    <n v="14859.34"/>
    <n v="5140.66"/>
    <x v="3"/>
  </r>
  <r>
    <x v="543"/>
    <x v="35"/>
    <x v="0"/>
    <x v="0"/>
    <x v="7"/>
    <n v="2"/>
    <n v="500"/>
    <n v="1000"/>
    <n v="559.61"/>
    <n v="440.39"/>
    <x v="5"/>
  </r>
  <r>
    <x v="544"/>
    <x v="114"/>
    <x v="3"/>
    <x v="1"/>
    <x v="2"/>
    <n v="4"/>
    <n v="5000"/>
    <n v="20000"/>
    <n v="12447.12"/>
    <n v="7552.88"/>
    <x v="5"/>
  </r>
  <r>
    <x v="545"/>
    <x v="9"/>
    <x v="0"/>
    <x v="1"/>
    <x v="1"/>
    <n v="1"/>
    <n v="1200"/>
    <n v="1200"/>
    <n v="1042.8399999999999"/>
    <n v="157.16"/>
    <x v="5"/>
  </r>
  <r>
    <x v="546"/>
    <x v="244"/>
    <x v="4"/>
    <x v="1"/>
    <x v="2"/>
    <n v="5"/>
    <n v="2500"/>
    <n v="12500"/>
    <n v="10397.25"/>
    <n v="2102.75"/>
    <x v="2"/>
  </r>
  <r>
    <x v="547"/>
    <x v="121"/>
    <x v="2"/>
    <x v="2"/>
    <x v="4"/>
    <n v="8"/>
    <n v="500"/>
    <n v="4000"/>
    <n v="2505.4899999999998"/>
    <n v="1494.51"/>
    <x v="5"/>
  </r>
  <r>
    <x v="548"/>
    <x v="283"/>
    <x v="4"/>
    <x v="2"/>
    <x v="6"/>
    <n v="2"/>
    <n v="150"/>
    <n v="300"/>
    <n v="218.71"/>
    <n v="81.290000000000006"/>
    <x v="5"/>
  </r>
  <r>
    <x v="549"/>
    <x v="284"/>
    <x v="3"/>
    <x v="0"/>
    <x v="7"/>
    <n v="10"/>
    <n v="500"/>
    <n v="5000"/>
    <n v="3272.33"/>
    <n v="1727.67"/>
    <x v="1"/>
  </r>
  <r>
    <x v="550"/>
    <x v="116"/>
    <x v="4"/>
    <x v="2"/>
    <x v="4"/>
    <n v="6"/>
    <n v="12000"/>
    <n v="72000"/>
    <n v="46577.5"/>
    <n v="25422.5"/>
    <x v="4"/>
  </r>
  <r>
    <x v="551"/>
    <x v="285"/>
    <x v="3"/>
    <x v="1"/>
    <x v="1"/>
    <n v="4"/>
    <n v="150"/>
    <n v="600"/>
    <n v="499.14"/>
    <n v="100.86"/>
    <x v="0"/>
  </r>
  <r>
    <x v="552"/>
    <x v="177"/>
    <x v="4"/>
    <x v="2"/>
    <x v="6"/>
    <n v="3"/>
    <n v="5000"/>
    <n v="15000"/>
    <n v="8383.64"/>
    <n v="6616.36"/>
    <x v="3"/>
  </r>
  <r>
    <x v="553"/>
    <x v="56"/>
    <x v="2"/>
    <x v="2"/>
    <x v="4"/>
    <n v="7"/>
    <n v="5000"/>
    <n v="35000"/>
    <n v="19682.66"/>
    <n v="15317.34"/>
    <x v="4"/>
  </r>
  <r>
    <x v="554"/>
    <x v="63"/>
    <x v="4"/>
    <x v="2"/>
    <x v="6"/>
    <n v="4"/>
    <n v="5000"/>
    <n v="20000"/>
    <n v="14742.45"/>
    <n v="5257.55"/>
    <x v="5"/>
  </r>
  <r>
    <x v="555"/>
    <x v="108"/>
    <x v="0"/>
    <x v="2"/>
    <x v="5"/>
    <n v="9"/>
    <n v="250"/>
    <n v="2250"/>
    <n v="1468.85"/>
    <n v="781.15"/>
    <x v="0"/>
  </r>
  <r>
    <x v="556"/>
    <x v="16"/>
    <x v="4"/>
    <x v="2"/>
    <x v="6"/>
    <n v="9"/>
    <n v="12000"/>
    <n v="108000"/>
    <n v="93897.22"/>
    <n v="14102.78"/>
    <x v="0"/>
  </r>
  <r>
    <x v="557"/>
    <x v="47"/>
    <x v="3"/>
    <x v="1"/>
    <x v="2"/>
    <n v="6"/>
    <n v="250"/>
    <n v="1500"/>
    <n v="1215.71"/>
    <n v="284.29000000000002"/>
    <x v="3"/>
  </r>
  <r>
    <x v="558"/>
    <x v="96"/>
    <x v="3"/>
    <x v="2"/>
    <x v="4"/>
    <n v="10"/>
    <n v="500"/>
    <n v="5000"/>
    <n v="3561.58"/>
    <n v="1438.42"/>
    <x v="1"/>
  </r>
  <r>
    <x v="559"/>
    <x v="193"/>
    <x v="2"/>
    <x v="0"/>
    <x v="7"/>
    <n v="10"/>
    <n v="2500"/>
    <n v="25000"/>
    <n v="14373.14"/>
    <n v="10626.86"/>
    <x v="1"/>
  </r>
  <r>
    <x v="560"/>
    <x v="157"/>
    <x v="0"/>
    <x v="0"/>
    <x v="8"/>
    <n v="9"/>
    <n v="500"/>
    <n v="4500"/>
    <n v="3125.64"/>
    <n v="1374.36"/>
    <x v="4"/>
  </r>
  <r>
    <x v="561"/>
    <x v="148"/>
    <x v="1"/>
    <x v="2"/>
    <x v="4"/>
    <n v="10"/>
    <n v="1200"/>
    <n v="12000"/>
    <n v="7201.54"/>
    <n v="4798.46"/>
    <x v="2"/>
  </r>
  <r>
    <x v="562"/>
    <x v="242"/>
    <x v="3"/>
    <x v="2"/>
    <x v="6"/>
    <n v="3"/>
    <n v="500"/>
    <n v="1500"/>
    <n v="1158.1099999999999"/>
    <n v="341.89"/>
    <x v="3"/>
  </r>
  <r>
    <x v="563"/>
    <x v="202"/>
    <x v="0"/>
    <x v="1"/>
    <x v="2"/>
    <n v="10"/>
    <n v="12000"/>
    <n v="120000"/>
    <n v="72654.27"/>
    <n v="47345.73"/>
    <x v="5"/>
  </r>
  <r>
    <x v="564"/>
    <x v="286"/>
    <x v="3"/>
    <x v="2"/>
    <x v="6"/>
    <n v="7"/>
    <n v="1200"/>
    <n v="8400"/>
    <n v="5881.33"/>
    <n v="2518.67"/>
    <x v="1"/>
  </r>
  <r>
    <x v="565"/>
    <x v="287"/>
    <x v="4"/>
    <x v="1"/>
    <x v="1"/>
    <n v="4"/>
    <n v="5000"/>
    <n v="20000"/>
    <n v="13611.71"/>
    <n v="6388.29"/>
    <x v="5"/>
  </r>
  <r>
    <x v="566"/>
    <x v="187"/>
    <x v="4"/>
    <x v="1"/>
    <x v="2"/>
    <n v="1"/>
    <n v="5000"/>
    <n v="5000"/>
    <n v="4033.81"/>
    <n v="966.19"/>
    <x v="3"/>
  </r>
  <r>
    <x v="567"/>
    <x v="232"/>
    <x v="1"/>
    <x v="1"/>
    <x v="2"/>
    <n v="7"/>
    <n v="2500"/>
    <n v="17500"/>
    <n v="13230.61"/>
    <n v="4269.3900000000003"/>
    <x v="1"/>
  </r>
  <r>
    <x v="568"/>
    <x v="152"/>
    <x v="4"/>
    <x v="2"/>
    <x v="4"/>
    <n v="8"/>
    <n v="5000"/>
    <n v="40000"/>
    <n v="29284.04"/>
    <n v="10715.96"/>
    <x v="2"/>
  </r>
  <r>
    <x v="569"/>
    <x v="288"/>
    <x v="0"/>
    <x v="0"/>
    <x v="0"/>
    <n v="6"/>
    <n v="1200"/>
    <n v="7200"/>
    <n v="4865.3100000000004"/>
    <n v="2334.69"/>
    <x v="2"/>
  </r>
  <r>
    <x v="570"/>
    <x v="144"/>
    <x v="1"/>
    <x v="1"/>
    <x v="2"/>
    <n v="4"/>
    <n v="5000"/>
    <n v="20000"/>
    <n v="17894.16"/>
    <n v="2105.84"/>
    <x v="5"/>
  </r>
  <r>
    <x v="571"/>
    <x v="129"/>
    <x v="3"/>
    <x v="0"/>
    <x v="0"/>
    <n v="2"/>
    <n v="500"/>
    <n v="1000"/>
    <n v="798.89"/>
    <n v="201.11"/>
    <x v="0"/>
  </r>
  <r>
    <x v="572"/>
    <x v="14"/>
    <x v="1"/>
    <x v="2"/>
    <x v="6"/>
    <n v="10"/>
    <n v="150"/>
    <n v="1500"/>
    <n v="1136.81"/>
    <n v="363.19"/>
    <x v="0"/>
  </r>
  <r>
    <x v="573"/>
    <x v="186"/>
    <x v="2"/>
    <x v="1"/>
    <x v="2"/>
    <n v="2"/>
    <n v="1200"/>
    <n v="2400"/>
    <n v="1693.22"/>
    <n v="706.78"/>
    <x v="3"/>
  </r>
  <r>
    <x v="574"/>
    <x v="106"/>
    <x v="1"/>
    <x v="2"/>
    <x v="6"/>
    <n v="3"/>
    <n v="250"/>
    <n v="750"/>
    <n v="594.99"/>
    <n v="155.01"/>
    <x v="3"/>
  </r>
  <r>
    <x v="575"/>
    <x v="146"/>
    <x v="2"/>
    <x v="2"/>
    <x v="6"/>
    <n v="2"/>
    <n v="5000"/>
    <n v="10000"/>
    <n v="7321.08"/>
    <n v="2678.92"/>
    <x v="0"/>
  </r>
  <r>
    <x v="576"/>
    <x v="96"/>
    <x v="4"/>
    <x v="1"/>
    <x v="3"/>
    <n v="2"/>
    <n v="2500"/>
    <n v="5000"/>
    <n v="4007.84"/>
    <n v="992.16"/>
    <x v="1"/>
  </r>
  <r>
    <x v="577"/>
    <x v="289"/>
    <x v="2"/>
    <x v="1"/>
    <x v="3"/>
    <n v="4"/>
    <n v="2500"/>
    <n v="10000"/>
    <n v="6199.12"/>
    <n v="3800.88"/>
    <x v="4"/>
  </r>
  <r>
    <x v="578"/>
    <x v="290"/>
    <x v="3"/>
    <x v="2"/>
    <x v="6"/>
    <n v="7"/>
    <n v="500"/>
    <n v="3500"/>
    <n v="2121.46"/>
    <n v="1378.54"/>
    <x v="4"/>
  </r>
  <r>
    <x v="579"/>
    <x v="291"/>
    <x v="1"/>
    <x v="0"/>
    <x v="8"/>
    <n v="6"/>
    <n v="250"/>
    <n v="1500"/>
    <n v="826.44"/>
    <n v="673.56"/>
    <x v="1"/>
  </r>
  <r>
    <x v="580"/>
    <x v="209"/>
    <x v="1"/>
    <x v="0"/>
    <x v="7"/>
    <n v="8"/>
    <n v="250"/>
    <n v="2000"/>
    <n v="1764.61"/>
    <n v="235.39"/>
    <x v="0"/>
  </r>
  <r>
    <x v="581"/>
    <x v="204"/>
    <x v="4"/>
    <x v="0"/>
    <x v="0"/>
    <n v="5"/>
    <n v="5000"/>
    <n v="25000"/>
    <n v="15772.65"/>
    <n v="9227.35"/>
    <x v="2"/>
  </r>
  <r>
    <x v="582"/>
    <x v="7"/>
    <x v="4"/>
    <x v="1"/>
    <x v="2"/>
    <n v="3"/>
    <n v="12000"/>
    <n v="36000"/>
    <n v="20297"/>
    <n v="15703"/>
    <x v="0"/>
  </r>
  <r>
    <x v="583"/>
    <x v="292"/>
    <x v="1"/>
    <x v="2"/>
    <x v="4"/>
    <n v="2"/>
    <n v="150"/>
    <n v="300"/>
    <n v="254.38"/>
    <n v="45.62"/>
    <x v="4"/>
  </r>
  <r>
    <x v="584"/>
    <x v="41"/>
    <x v="2"/>
    <x v="0"/>
    <x v="7"/>
    <n v="3"/>
    <n v="500"/>
    <n v="1500"/>
    <n v="1012.7"/>
    <n v="487.3"/>
    <x v="3"/>
  </r>
  <r>
    <x v="585"/>
    <x v="79"/>
    <x v="3"/>
    <x v="0"/>
    <x v="0"/>
    <n v="6"/>
    <n v="12000"/>
    <n v="72000"/>
    <n v="48236.61"/>
    <n v="23763.39"/>
    <x v="2"/>
  </r>
  <r>
    <x v="586"/>
    <x v="293"/>
    <x v="0"/>
    <x v="2"/>
    <x v="4"/>
    <n v="7"/>
    <n v="5000"/>
    <n v="35000"/>
    <n v="29670.73"/>
    <n v="5329.27"/>
    <x v="1"/>
  </r>
  <r>
    <x v="587"/>
    <x v="262"/>
    <x v="2"/>
    <x v="1"/>
    <x v="1"/>
    <n v="1"/>
    <n v="12000"/>
    <n v="12000"/>
    <n v="7269.46"/>
    <n v="4730.54"/>
    <x v="2"/>
  </r>
  <r>
    <x v="588"/>
    <x v="294"/>
    <x v="2"/>
    <x v="0"/>
    <x v="7"/>
    <n v="8"/>
    <n v="250"/>
    <n v="2000"/>
    <n v="1527.93"/>
    <n v="472.07"/>
    <x v="1"/>
  </r>
  <r>
    <x v="589"/>
    <x v="20"/>
    <x v="3"/>
    <x v="0"/>
    <x v="7"/>
    <n v="3"/>
    <n v="1200"/>
    <n v="3600"/>
    <n v="3139.7"/>
    <n v="460.3"/>
    <x v="2"/>
  </r>
  <r>
    <x v="590"/>
    <x v="207"/>
    <x v="2"/>
    <x v="1"/>
    <x v="2"/>
    <n v="5"/>
    <n v="5000"/>
    <n v="25000"/>
    <n v="16499.580000000002"/>
    <n v="8500.42"/>
    <x v="0"/>
  </r>
  <r>
    <x v="591"/>
    <x v="50"/>
    <x v="4"/>
    <x v="0"/>
    <x v="7"/>
    <n v="10"/>
    <n v="250"/>
    <n v="2500"/>
    <n v="2230.66"/>
    <n v="269.33999999999997"/>
    <x v="5"/>
  </r>
  <r>
    <x v="592"/>
    <x v="66"/>
    <x v="3"/>
    <x v="0"/>
    <x v="7"/>
    <n v="10"/>
    <n v="150"/>
    <n v="1500"/>
    <n v="1052.25"/>
    <n v="447.75"/>
    <x v="3"/>
  </r>
  <r>
    <x v="593"/>
    <x v="295"/>
    <x v="2"/>
    <x v="0"/>
    <x v="7"/>
    <n v="7"/>
    <n v="250"/>
    <n v="1750"/>
    <n v="1476.41"/>
    <n v="273.58999999999997"/>
    <x v="1"/>
  </r>
  <r>
    <x v="594"/>
    <x v="296"/>
    <x v="0"/>
    <x v="1"/>
    <x v="1"/>
    <n v="3"/>
    <n v="2500"/>
    <n v="7500"/>
    <n v="6353.22"/>
    <n v="1146.78"/>
    <x v="1"/>
  </r>
  <r>
    <x v="595"/>
    <x v="35"/>
    <x v="2"/>
    <x v="2"/>
    <x v="4"/>
    <n v="4"/>
    <n v="500"/>
    <n v="2000"/>
    <n v="1779.1"/>
    <n v="220.9"/>
    <x v="4"/>
  </r>
  <r>
    <x v="596"/>
    <x v="170"/>
    <x v="3"/>
    <x v="0"/>
    <x v="7"/>
    <n v="7"/>
    <n v="1200"/>
    <n v="8400"/>
    <n v="7022.28"/>
    <n v="1377.72"/>
    <x v="2"/>
  </r>
  <r>
    <x v="597"/>
    <x v="297"/>
    <x v="1"/>
    <x v="0"/>
    <x v="8"/>
    <n v="2"/>
    <n v="12000"/>
    <n v="24000"/>
    <n v="17387.03"/>
    <n v="6612.97"/>
    <x v="2"/>
  </r>
  <r>
    <x v="598"/>
    <x v="261"/>
    <x v="2"/>
    <x v="0"/>
    <x v="7"/>
    <n v="1"/>
    <n v="150"/>
    <n v="150"/>
    <n v="103.68"/>
    <n v="46.32"/>
    <x v="5"/>
  </r>
  <r>
    <x v="599"/>
    <x v="109"/>
    <x v="2"/>
    <x v="1"/>
    <x v="2"/>
    <n v="10"/>
    <n v="2500"/>
    <n v="25000"/>
    <n v="19328.46"/>
    <n v="5671.54"/>
    <x v="4"/>
  </r>
  <r>
    <x v="600"/>
    <x v="93"/>
    <x v="0"/>
    <x v="0"/>
    <x v="7"/>
    <n v="8"/>
    <n v="500"/>
    <n v="4000"/>
    <n v="2708.68"/>
    <n v="1291.32"/>
    <x v="2"/>
  </r>
  <r>
    <x v="601"/>
    <x v="259"/>
    <x v="4"/>
    <x v="2"/>
    <x v="6"/>
    <n v="10"/>
    <n v="2500"/>
    <n v="25000"/>
    <n v="17889.919999999998"/>
    <n v="7110.08"/>
    <x v="0"/>
  </r>
  <r>
    <x v="602"/>
    <x v="110"/>
    <x v="4"/>
    <x v="2"/>
    <x v="5"/>
    <n v="2"/>
    <n v="12000"/>
    <n v="24000"/>
    <n v="18734.849999999999"/>
    <n v="5265.15"/>
    <x v="3"/>
  </r>
  <r>
    <x v="603"/>
    <x v="65"/>
    <x v="1"/>
    <x v="0"/>
    <x v="8"/>
    <n v="9"/>
    <n v="2500"/>
    <n v="22500"/>
    <n v="15319.39"/>
    <n v="7180.61"/>
    <x v="4"/>
  </r>
  <r>
    <x v="604"/>
    <x v="298"/>
    <x v="0"/>
    <x v="2"/>
    <x v="5"/>
    <n v="7"/>
    <n v="150"/>
    <n v="1050"/>
    <n v="670.95"/>
    <n v="379.05"/>
    <x v="1"/>
  </r>
  <r>
    <x v="605"/>
    <x v="29"/>
    <x v="1"/>
    <x v="2"/>
    <x v="5"/>
    <n v="8"/>
    <n v="12000"/>
    <n v="96000"/>
    <n v="79055.73"/>
    <n v="16944.27"/>
    <x v="2"/>
  </r>
  <r>
    <x v="606"/>
    <x v="181"/>
    <x v="3"/>
    <x v="1"/>
    <x v="1"/>
    <n v="10"/>
    <n v="150"/>
    <n v="1500"/>
    <n v="1230.3800000000001"/>
    <n v="269.62"/>
    <x v="0"/>
  </r>
  <r>
    <x v="607"/>
    <x v="14"/>
    <x v="2"/>
    <x v="0"/>
    <x v="7"/>
    <n v="3"/>
    <n v="1200"/>
    <n v="3600"/>
    <n v="1985.47"/>
    <n v="1614.53"/>
    <x v="2"/>
  </r>
  <r>
    <x v="608"/>
    <x v="49"/>
    <x v="2"/>
    <x v="0"/>
    <x v="8"/>
    <n v="9"/>
    <n v="12000"/>
    <n v="108000"/>
    <n v="94219.94"/>
    <n v="13780.06"/>
    <x v="4"/>
  </r>
  <r>
    <x v="609"/>
    <x v="60"/>
    <x v="4"/>
    <x v="0"/>
    <x v="0"/>
    <n v="2"/>
    <n v="1200"/>
    <n v="2400"/>
    <n v="1872.32"/>
    <n v="527.67999999999995"/>
    <x v="5"/>
  </r>
  <r>
    <x v="610"/>
    <x v="214"/>
    <x v="3"/>
    <x v="2"/>
    <x v="4"/>
    <n v="10"/>
    <n v="5000"/>
    <n v="50000"/>
    <n v="40841.56"/>
    <n v="9158.44"/>
    <x v="3"/>
  </r>
  <r>
    <x v="611"/>
    <x v="278"/>
    <x v="2"/>
    <x v="2"/>
    <x v="4"/>
    <n v="3"/>
    <n v="250"/>
    <n v="750"/>
    <n v="520.85"/>
    <n v="229.15"/>
    <x v="3"/>
  </r>
  <r>
    <x v="612"/>
    <x v="42"/>
    <x v="0"/>
    <x v="0"/>
    <x v="7"/>
    <n v="6"/>
    <n v="5000"/>
    <n v="30000"/>
    <n v="24236.6"/>
    <n v="5763.4"/>
    <x v="4"/>
  </r>
  <r>
    <x v="613"/>
    <x v="127"/>
    <x v="0"/>
    <x v="1"/>
    <x v="1"/>
    <n v="5"/>
    <n v="5000"/>
    <n v="25000"/>
    <n v="16771.32"/>
    <n v="8228.68"/>
    <x v="0"/>
  </r>
  <r>
    <x v="614"/>
    <x v="272"/>
    <x v="1"/>
    <x v="0"/>
    <x v="0"/>
    <n v="9"/>
    <n v="2500"/>
    <n v="22500"/>
    <n v="17842.71"/>
    <n v="4657.29"/>
    <x v="3"/>
  </r>
  <r>
    <x v="615"/>
    <x v="245"/>
    <x v="3"/>
    <x v="0"/>
    <x v="8"/>
    <n v="10"/>
    <n v="2500"/>
    <n v="25000"/>
    <n v="21998.39"/>
    <n v="3001.61"/>
    <x v="0"/>
  </r>
  <r>
    <x v="616"/>
    <x v="221"/>
    <x v="2"/>
    <x v="0"/>
    <x v="7"/>
    <n v="5"/>
    <n v="12000"/>
    <n v="60000"/>
    <n v="41870.11"/>
    <n v="18129.89"/>
    <x v="1"/>
  </r>
  <r>
    <x v="617"/>
    <x v="281"/>
    <x v="4"/>
    <x v="1"/>
    <x v="3"/>
    <n v="3"/>
    <n v="150"/>
    <n v="450"/>
    <n v="353.07"/>
    <n v="96.93"/>
    <x v="4"/>
  </r>
  <r>
    <x v="618"/>
    <x v="23"/>
    <x v="4"/>
    <x v="2"/>
    <x v="6"/>
    <n v="5"/>
    <n v="250"/>
    <n v="1250"/>
    <n v="1054.73"/>
    <n v="195.27"/>
    <x v="4"/>
  </r>
  <r>
    <x v="619"/>
    <x v="220"/>
    <x v="2"/>
    <x v="0"/>
    <x v="0"/>
    <n v="6"/>
    <n v="12000"/>
    <n v="72000"/>
    <n v="51005.38"/>
    <n v="20994.62"/>
    <x v="4"/>
  </r>
  <r>
    <x v="620"/>
    <x v="216"/>
    <x v="4"/>
    <x v="0"/>
    <x v="7"/>
    <n v="9"/>
    <n v="1200"/>
    <n v="10800"/>
    <n v="6838.11"/>
    <n v="3961.89"/>
    <x v="0"/>
  </r>
  <r>
    <x v="621"/>
    <x v="175"/>
    <x v="4"/>
    <x v="0"/>
    <x v="0"/>
    <n v="7"/>
    <n v="1200"/>
    <n v="8400"/>
    <n v="5844.7"/>
    <n v="2555.3000000000002"/>
    <x v="5"/>
  </r>
  <r>
    <x v="622"/>
    <x v="67"/>
    <x v="0"/>
    <x v="1"/>
    <x v="2"/>
    <n v="5"/>
    <n v="250"/>
    <n v="1250"/>
    <n v="959"/>
    <n v="291"/>
    <x v="0"/>
  </r>
  <r>
    <x v="623"/>
    <x v="235"/>
    <x v="0"/>
    <x v="0"/>
    <x v="7"/>
    <n v="6"/>
    <n v="12000"/>
    <n v="72000"/>
    <n v="54427.31"/>
    <n v="17572.689999999999"/>
    <x v="0"/>
  </r>
  <r>
    <x v="624"/>
    <x v="125"/>
    <x v="0"/>
    <x v="1"/>
    <x v="3"/>
    <n v="8"/>
    <n v="250"/>
    <n v="2000"/>
    <n v="1788.42"/>
    <n v="211.58"/>
    <x v="4"/>
  </r>
  <r>
    <x v="625"/>
    <x v="299"/>
    <x v="2"/>
    <x v="0"/>
    <x v="7"/>
    <n v="2"/>
    <n v="1200"/>
    <n v="2400"/>
    <n v="1354.13"/>
    <n v="1045.8699999999999"/>
    <x v="3"/>
  </r>
  <r>
    <x v="626"/>
    <x v="225"/>
    <x v="3"/>
    <x v="1"/>
    <x v="2"/>
    <n v="10"/>
    <n v="12000"/>
    <n v="120000"/>
    <n v="76710.679999999993"/>
    <n v="43289.32"/>
    <x v="0"/>
  </r>
  <r>
    <x v="627"/>
    <x v="300"/>
    <x v="2"/>
    <x v="1"/>
    <x v="2"/>
    <n v="3"/>
    <n v="500"/>
    <n v="1500"/>
    <n v="1138.3599999999999"/>
    <n v="361.64"/>
    <x v="0"/>
  </r>
  <r>
    <x v="628"/>
    <x v="56"/>
    <x v="4"/>
    <x v="2"/>
    <x v="4"/>
    <n v="10"/>
    <n v="2500"/>
    <n v="25000"/>
    <n v="16883.25"/>
    <n v="8116.75"/>
    <x v="5"/>
  </r>
  <r>
    <x v="629"/>
    <x v="301"/>
    <x v="3"/>
    <x v="1"/>
    <x v="2"/>
    <n v="9"/>
    <n v="150"/>
    <n v="1350"/>
    <n v="1114.01"/>
    <n v="235.99"/>
    <x v="5"/>
  </r>
  <r>
    <x v="630"/>
    <x v="302"/>
    <x v="4"/>
    <x v="0"/>
    <x v="8"/>
    <n v="2"/>
    <n v="500"/>
    <n v="1000"/>
    <n v="627.41999999999996"/>
    <n v="372.58"/>
    <x v="3"/>
  </r>
  <r>
    <x v="631"/>
    <x v="63"/>
    <x v="2"/>
    <x v="2"/>
    <x v="4"/>
    <n v="4"/>
    <n v="12000"/>
    <n v="48000"/>
    <n v="36787.11"/>
    <n v="11212.89"/>
    <x v="0"/>
  </r>
  <r>
    <x v="632"/>
    <x v="185"/>
    <x v="2"/>
    <x v="1"/>
    <x v="2"/>
    <n v="6"/>
    <n v="1200"/>
    <n v="7200"/>
    <n v="4565.68"/>
    <n v="2634.32"/>
    <x v="5"/>
  </r>
  <r>
    <x v="633"/>
    <x v="79"/>
    <x v="3"/>
    <x v="1"/>
    <x v="2"/>
    <n v="6"/>
    <n v="1200"/>
    <n v="7200"/>
    <n v="6268.15"/>
    <n v="931.85"/>
    <x v="3"/>
  </r>
  <r>
    <x v="634"/>
    <x v="19"/>
    <x v="2"/>
    <x v="0"/>
    <x v="7"/>
    <n v="5"/>
    <n v="150"/>
    <n v="750"/>
    <n v="651.73"/>
    <n v="98.27"/>
    <x v="5"/>
  </r>
  <r>
    <x v="635"/>
    <x v="277"/>
    <x v="4"/>
    <x v="2"/>
    <x v="4"/>
    <n v="1"/>
    <n v="500"/>
    <n v="500"/>
    <n v="432.2"/>
    <n v="67.8"/>
    <x v="5"/>
  </r>
  <r>
    <x v="636"/>
    <x v="3"/>
    <x v="1"/>
    <x v="1"/>
    <x v="2"/>
    <n v="3"/>
    <n v="12000"/>
    <n v="36000"/>
    <n v="26578.48"/>
    <n v="9421.52"/>
    <x v="4"/>
  </r>
  <r>
    <x v="637"/>
    <x v="102"/>
    <x v="0"/>
    <x v="0"/>
    <x v="7"/>
    <n v="4"/>
    <n v="12000"/>
    <n v="48000"/>
    <n v="37914.81"/>
    <n v="10085.19"/>
    <x v="5"/>
  </r>
  <r>
    <x v="638"/>
    <x v="303"/>
    <x v="0"/>
    <x v="0"/>
    <x v="7"/>
    <n v="7"/>
    <n v="5000"/>
    <n v="35000"/>
    <n v="29255.24"/>
    <n v="5744.76"/>
    <x v="1"/>
  </r>
  <r>
    <x v="639"/>
    <x v="93"/>
    <x v="0"/>
    <x v="2"/>
    <x v="6"/>
    <n v="6"/>
    <n v="150"/>
    <n v="900"/>
    <n v="522.57000000000005"/>
    <n v="377.43"/>
    <x v="3"/>
  </r>
  <r>
    <x v="640"/>
    <x v="86"/>
    <x v="3"/>
    <x v="0"/>
    <x v="0"/>
    <n v="10"/>
    <n v="12000"/>
    <n v="120000"/>
    <n v="75561.119999999995"/>
    <n v="44438.879999999997"/>
    <x v="2"/>
  </r>
  <r>
    <x v="641"/>
    <x v="304"/>
    <x v="1"/>
    <x v="2"/>
    <x v="6"/>
    <n v="7"/>
    <n v="1200"/>
    <n v="8400"/>
    <n v="5550.23"/>
    <n v="2849.77"/>
    <x v="5"/>
  </r>
  <r>
    <x v="642"/>
    <x v="267"/>
    <x v="1"/>
    <x v="1"/>
    <x v="1"/>
    <n v="10"/>
    <n v="150"/>
    <n v="1500"/>
    <n v="1221.8800000000001"/>
    <n v="278.12"/>
    <x v="0"/>
  </r>
  <r>
    <x v="643"/>
    <x v="43"/>
    <x v="4"/>
    <x v="1"/>
    <x v="3"/>
    <n v="9"/>
    <n v="150"/>
    <n v="1350"/>
    <n v="879.45"/>
    <n v="470.55"/>
    <x v="5"/>
  </r>
  <r>
    <x v="644"/>
    <x v="178"/>
    <x v="1"/>
    <x v="1"/>
    <x v="3"/>
    <n v="8"/>
    <n v="1200"/>
    <n v="9600"/>
    <n v="6607.58"/>
    <n v="2992.42"/>
    <x v="2"/>
  </r>
  <r>
    <x v="645"/>
    <x v="46"/>
    <x v="4"/>
    <x v="1"/>
    <x v="1"/>
    <n v="4"/>
    <n v="250"/>
    <n v="1000"/>
    <n v="811.36"/>
    <n v="188.64"/>
    <x v="0"/>
  </r>
  <r>
    <x v="646"/>
    <x v="215"/>
    <x v="0"/>
    <x v="1"/>
    <x v="3"/>
    <n v="6"/>
    <n v="150"/>
    <n v="900"/>
    <n v="669.36"/>
    <n v="230.64"/>
    <x v="1"/>
  </r>
  <r>
    <x v="647"/>
    <x v="290"/>
    <x v="1"/>
    <x v="1"/>
    <x v="2"/>
    <n v="10"/>
    <n v="2500"/>
    <n v="25000"/>
    <n v="17198.21"/>
    <n v="7801.79"/>
    <x v="3"/>
  </r>
  <r>
    <x v="648"/>
    <x v="305"/>
    <x v="2"/>
    <x v="1"/>
    <x v="1"/>
    <n v="6"/>
    <n v="250"/>
    <n v="1500"/>
    <n v="1041.6400000000001"/>
    <n v="458.36"/>
    <x v="4"/>
  </r>
  <r>
    <x v="649"/>
    <x v="193"/>
    <x v="1"/>
    <x v="1"/>
    <x v="2"/>
    <n v="4"/>
    <n v="2500"/>
    <n v="10000"/>
    <n v="8421.6200000000008"/>
    <n v="1578.38"/>
    <x v="4"/>
  </r>
  <r>
    <x v="650"/>
    <x v="22"/>
    <x v="3"/>
    <x v="0"/>
    <x v="7"/>
    <n v="1"/>
    <n v="12000"/>
    <n v="12000"/>
    <n v="9754.3799999999992"/>
    <n v="2245.62"/>
    <x v="0"/>
  </r>
  <r>
    <x v="651"/>
    <x v="306"/>
    <x v="0"/>
    <x v="0"/>
    <x v="0"/>
    <n v="5"/>
    <n v="5000"/>
    <n v="25000"/>
    <n v="14339.42"/>
    <n v="10660.58"/>
    <x v="0"/>
  </r>
  <r>
    <x v="652"/>
    <x v="116"/>
    <x v="0"/>
    <x v="0"/>
    <x v="8"/>
    <n v="6"/>
    <n v="500"/>
    <n v="3000"/>
    <n v="1784.63"/>
    <n v="1215.3699999999999"/>
    <x v="1"/>
  </r>
  <r>
    <x v="653"/>
    <x v="181"/>
    <x v="4"/>
    <x v="2"/>
    <x v="6"/>
    <n v="2"/>
    <n v="250"/>
    <n v="500"/>
    <n v="330.61"/>
    <n v="169.39"/>
    <x v="5"/>
  </r>
  <r>
    <x v="654"/>
    <x v="8"/>
    <x v="4"/>
    <x v="0"/>
    <x v="8"/>
    <n v="10"/>
    <n v="250"/>
    <n v="2500"/>
    <n v="1869.86"/>
    <n v="630.14"/>
    <x v="2"/>
  </r>
  <r>
    <x v="655"/>
    <x v="260"/>
    <x v="3"/>
    <x v="1"/>
    <x v="2"/>
    <n v="6"/>
    <n v="250"/>
    <n v="1500"/>
    <n v="1237.47"/>
    <n v="262.52999999999997"/>
    <x v="3"/>
  </r>
  <r>
    <x v="656"/>
    <x v="294"/>
    <x v="4"/>
    <x v="2"/>
    <x v="5"/>
    <n v="6"/>
    <n v="1200"/>
    <n v="7200"/>
    <n v="5126.38"/>
    <n v="2073.62"/>
    <x v="2"/>
  </r>
  <r>
    <x v="657"/>
    <x v="131"/>
    <x v="0"/>
    <x v="0"/>
    <x v="0"/>
    <n v="3"/>
    <n v="5000"/>
    <n v="15000"/>
    <n v="11434.8"/>
    <n v="3565.2"/>
    <x v="5"/>
  </r>
  <r>
    <x v="658"/>
    <x v="307"/>
    <x v="2"/>
    <x v="1"/>
    <x v="3"/>
    <n v="2"/>
    <n v="5000"/>
    <n v="10000"/>
    <n v="5763.9"/>
    <n v="4236.1000000000004"/>
    <x v="0"/>
  </r>
  <r>
    <x v="659"/>
    <x v="144"/>
    <x v="1"/>
    <x v="1"/>
    <x v="1"/>
    <n v="10"/>
    <n v="1200"/>
    <n v="12000"/>
    <n v="9830.64"/>
    <n v="2169.36"/>
    <x v="5"/>
  </r>
  <r>
    <x v="660"/>
    <x v="111"/>
    <x v="4"/>
    <x v="2"/>
    <x v="6"/>
    <n v="9"/>
    <n v="1200"/>
    <n v="10800"/>
    <n v="8411.77"/>
    <n v="2388.23"/>
    <x v="2"/>
  </r>
  <r>
    <x v="661"/>
    <x v="209"/>
    <x v="1"/>
    <x v="1"/>
    <x v="1"/>
    <n v="5"/>
    <n v="250"/>
    <n v="1250"/>
    <n v="890.81"/>
    <n v="359.19"/>
    <x v="2"/>
  </r>
  <r>
    <x v="662"/>
    <x v="172"/>
    <x v="0"/>
    <x v="2"/>
    <x v="6"/>
    <n v="1"/>
    <n v="5000"/>
    <n v="5000"/>
    <n v="3168.04"/>
    <n v="1831.96"/>
    <x v="5"/>
  </r>
  <r>
    <x v="663"/>
    <x v="81"/>
    <x v="0"/>
    <x v="1"/>
    <x v="3"/>
    <n v="3"/>
    <n v="250"/>
    <n v="750"/>
    <n v="561.16999999999996"/>
    <n v="188.83"/>
    <x v="0"/>
  </r>
  <r>
    <x v="664"/>
    <x v="118"/>
    <x v="0"/>
    <x v="0"/>
    <x v="8"/>
    <n v="6"/>
    <n v="150"/>
    <n v="900"/>
    <n v="563.92999999999995"/>
    <n v="336.07"/>
    <x v="1"/>
  </r>
  <r>
    <x v="665"/>
    <x v="105"/>
    <x v="4"/>
    <x v="2"/>
    <x v="4"/>
    <n v="4"/>
    <n v="150"/>
    <n v="600"/>
    <n v="470.4"/>
    <n v="129.6"/>
    <x v="2"/>
  </r>
  <r>
    <x v="666"/>
    <x v="272"/>
    <x v="1"/>
    <x v="2"/>
    <x v="4"/>
    <n v="1"/>
    <n v="150"/>
    <n v="150"/>
    <n v="133.97999999999999"/>
    <n v="16.02"/>
    <x v="0"/>
  </r>
  <r>
    <x v="667"/>
    <x v="308"/>
    <x v="2"/>
    <x v="0"/>
    <x v="7"/>
    <n v="5"/>
    <n v="12000"/>
    <n v="60000"/>
    <n v="48580.1"/>
    <n v="11419.9"/>
    <x v="5"/>
  </r>
  <r>
    <x v="668"/>
    <x v="151"/>
    <x v="2"/>
    <x v="1"/>
    <x v="3"/>
    <n v="7"/>
    <n v="500"/>
    <n v="3500"/>
    <n v="2644.91"/>
    <n v="855.09"/>
    <x v="3"/>
  </r>
  <r>
    <x v="669"/>
    <x v="269"/>
    <x v="3"/>
    <x v="2"/>
    <x v="5"/>
    <n v="9"/>
    <n v="1200"/>
    <n v="10800"/>
    <n v="7273.95"/>
    <n v="3526.05"/>
    <x v="2"/>
  </r>
  <r>
    <x v="670"/>
    <x v="25"/>
    <x v="1"/>
    <x v="0"/>
    <x v="0"/>
    <n v="9"/>
    <n v="250"/>
    <n v="2250"/>
    <n v="1583.92"/>
    <n v="666.08"/>
    <x v="5"/>
  </r>
  <r>
    <x v="671"/>
    <x v="132"/>
    <x v="2"/>
    <x v="0"/>
    <x v="8"/>
    <n v="4"/>
    <n v="250"/>
    <n v="1000"/>
    <n v="615.41999999999996"/>
    <n v="384.58"/>
    <x v="0"/>
  </r>
  <r>
    <x v="672"/>
    <x v="79"/>
    <x v="3"/>
    <x v="1"/>
    <x v="1"/>
    <n v="4"/>
    <n v="1200"/>
    <n v="4800"/>
    <n v="4002.77"/>
    <n v="797.23"/>
    <x v="0"/>
  </r>
  <r>
    <x v="673"/>
    <x v="113"/>
    <x v="1"/>
    <x v="2"/>
    <x v="4"/>
    <n v="4"/>
    <n v="2500"/>
    <n v="10000"/>
    <n v="6064.36"/>
    <n v="3935.64"/>
    <x v="4"/>
  </r>
  <r>
    <x v="674"/>
    <x v="106"/>
    <x v="2"/>
    <x v="1"/>
    <x v="2"/>
    <n v="10"/>
    <n v="2500"/>
    <n v="25000"/>
    <n v="15159.88"/>
    <n v="9840.1200000000008"/>
    <x v="1"/>
  </r>
  <r>
    <x v="675"/>
    <x v="148"/>
    <x v="2"/>
    <x v="0"/>
    <x v="0"/>
    <n v="1"/>
    <n v="250"/>
    <n v="250"/>
    <n v="160.1"/>
    <n v="89.9"/>
    <x v="2"/>
  </r>
  <r>
    <x v="676"/>
    <x v="252"/>
    <x v="1"/>
    <x v="0"/>
    <x v="7"/>
    <n v="1"/>
    <n v="5000"/>
    <n v="5000"/>
    <n v="4023.96"/>
    <n v="976.04"/>
    <x v="4"/>
  </r>
  <r>
    <x v="677"/>
    <x v="246"/>
    <x v="3"/>
    <x v="2"/>
    <x v="6"/>
    <n v="8"/>
    <n v="12000"/>
    <n v="96000"/>
    <n v="68984.06"/>
    <n v="27015.94"/>
    <x v="5"/>
  </r>
  <r>
    <x v="678"/>
    <x v="5"/>
    <x v="0"/>
    <x v="1"/>
    <x v="1"/>
    <n v="3"/>
    <n v="2500"/>
    <n v="7500"/>
    <n v="5856.58"/>
    <n v="1643.42"/>
    <x v="0"/>
  </r>
  <r>
    <x v="679"/>
    <x v="25"/>
    <x v="3"/>
    <x v="0"/>
    <x v="8"/>
    <n v="8"/>
    <n v="2500"/>
    <n v="20000"/>
    <n v="15134.17"/>
    <n v="4865.83"/>
    <x v="2"/>
  </r>
  <r>
    <x v="680"/>
    <x v="208"/>
    <x v="3"/>
    <x v="1"/>
    <x v="2"/>
    <n v="1"/>
    <n v="250"/>
    <n v="250"/>
    <n v="183.24"/>
    <n v="66.760000000000005"/>
    <x v="4"/>
  </r>
  <r>
    <x v="681"/>
    <x v="285"/>
    <x v="1"/>
    <x v="0"/>
    <x v="0"/>
    <n v="3"/>
    <n v="1200"/>
    <n v="3600"/>
    <n v="3116.03"/>
    <n v="483.97"/>
    <x v="5"/>
  </r>
  <r>
    <x v="682"/>
    <x v="235"/>
    <x v="2"/>
    <x v="0"/>
    <x v="0"/>
    <n v="2"/>
    <n v="1200"/>
    <n v="2400"/>
    <n v="1873.89"/>
    <n v="526.11"/>
    <x v="1"/>
  </r>
  <r>
    <x v="683"/>
    <x v="239"/>
    <x v="2"/>
    <x v="0"/>
    <x v="7"/>
    <n v="7"/>
    <n v="2500"/>
    <n v="17500"/>
    <n v="12201.69"/>
    <n v="5298.31"/>
    <x v="2"/>
  </r>
  <r>
    <x v="684"/>
    <x v="216"/>
    <x v="2"/>
    <x v="1"/>
    <x v="3"/>
    <n v="7"/>
    <n v="500"/>
    <n v="3500"/>
    <n v="2646.58"/>
    <n v="853.42"/>
    <x v="1"/>
  </r>
  <r>
    <x v="685"/>
    <x v="257"/>
    <x v="4"/>
    <x v="2"/>
    <x v="5"/>
    <n v="5"/>
    <n v="1200"/>
    <n v="6000"/>
    <n v="4908.3"/>
    <n v="1091.7"/>
    <x v="5"/>
  </r>
  <r>
    <x v="686"/>
    <x v="3"/>
    <x v="2"/>
    <x v="0"/>
    <x v="8"/>
    <n v="5"/>
    <n v="250"/>
    <n v="1250"/>
    <n v="689.89"/>
    <n v="560.11"/>
    <x v="5"/>
  </r>
  <r>
    <x v="687"/>
    <x v="97"/>
    <x v="4"/>
    <x v="1"/>
    <x v="1"/>
    <n v="1"/>
    <n v="1200"/>
    <n v="1200"/>
    <n v="934.91"/>
    <n v="265.08999999999997"/>
    <x v="2"/>
  </r>
  <r>
    <x v="688"/>
    <x v="95"/>
    <x v="4"/>
    <x v="2"/>
    <x v="5"/>
    <n v="3"/>
    <n v="1200"/>
    <n v="3600"/>
    <n v="2800.99"/>
    <n v="799.01"/>
    <x v="5"/>
  </r>
  <r>
    <x v="689"/>
    <x v="16"/>
    <x v="3"/>
    <x v="2"/>
    <x v="6"/>
    <n v="6"/>
    <n v="2500"/>
    <n v="15000"/>
    <n v="9696.69"/>
    <n v="5303.31"/>
    <x v="4"/>
  </r>
  <r>
    <x v="690"/>
    <x v="48"/>
    <x v="2"/>
    <x v="2"/>
    <x v="6"/>
    <n v="9"/>
    <n v="1200"/>
    <n v="10800"/>
    <n v="6615.56"/>
    <n v="4184.4399999999996"/>
    <x v="2"/>
  </r>
  <r>
    <x v="691"/>
    <x v="182"/>
    <x v="0"/>
    <x v="2"/>
    <x v="4"/>
    <n v="10"/>
    <n v="500"/>
    <n v="5000"/>
    <n v="4104.84"/>
    <n v="895.16"/>
    <x v="0"/>
  </r>
  <r>
    <x v="692"/>
    <x v="309"/>
    <x v="1"/>
    <x v="1"/>
    <x v="1"/>
    <n v="4"/>
    <n v="1200"/>
    <n v="4800"/>
    <n v="3955.62"/>
    <n v="844.38"/>
    <x v="4"/>
  </r>
  <r>
    <x v="693"/>
    <x v="216"/>
    <x v="1"/>
    <x v="0"/>
    <x v="8"/>
    <n v="6"/>
    <n v="12000"/>
    <n v="72000"/>
    <n v="53474.52"/>
    <n v="18525.48"/>
    <x v="4"/>
  </r>
  <r>
    <x v="694"/>
    <x v="201"/>
    <x v="3"/>
    <x v="2"/>
    <x v="6"/>
    <n v="1"/>
    <n v="12000"/>
    <n v="12000"/>
    <n v="6982.57"/>
    <n v="5017.43"/>
    <x v="5"/>
  </r>
  <r>
    <x v="695"/>
    <x v="170"/>
    <x v="2"/>
    <x v="2"/>
    <x v="5"/>
    <n v="2"/>
    <n v="500"/>
    <n v="1000"/>
    <n v="627.62"/>
    <n v="372.38"/>
    <x v="1"/>
  </r>
  <r>
    <x v="696"/>
    <x v="33"/>
    <x v="2"/>
    <x v="0"/>
    <x v="8"/>
    <n v="7"/>
    <n v="2500"/>
    <n v="17500"/>
    <n v="13644.07"/>
    <n v="3855.93"/>
    <x v="1"/>
  </r>
  <r>
    <x v="697"/>
    <x v="259"/>
    <x v="2"/>
    <x v="1"/>
    <x v="1"/>
    <n v="8"/>
    <n v="1200"/>
    <n v="9600"/>
    <n v="5315.99"/>
    <n v="4284.01"/>
    <x v="3"/>
  </r>
  <r>
    <x v="698"/>
    <x v="264"/>
    <x v="2"/>
    <x v="1"/>
    <x v="2"/>
    <n v="10"/>
    <n v="2500"/>
    <n v="25000"/>
    <n v="18263.37"/>
    <n v="6736.63"/>
    <x v="4"/>
  </r>
  <r>
    <x v="699"/>
    <x v="17"/>
    <x v="1"/>
    <x v="0"/>
    <x v="0"/>
    <n v="6"/>
    <n v="250"/>
    <n v="1500"/>
    <n v="1168.8900000000001"/>
    <n v="331.11"/>
    <x v="3"/>
  </r>
  <r>
    <x v="700"/>
    <x v="105"/>
    <x v="1"/>
    <x v="2"/>
    <x v="4"/>
    <n v="7"/>
    <n v="1200"/>
    <n v="8400"/>
    <n v="6343.08"/>
    <n v="2056.92"/>
    <x v="0"/>
  </r>
  <r>
    <x v="701"/>
    <x v="48"/>
    <x v="2"/>
    <x v="0"/>
    <x v="0"/>
    <n v="2"/>
    <n v="2500"/>
    <n v="5000"/>
    <n v="3247.86"/>
    <n v="1752.14"/>
    <x v="3"/>
  </r>
  <r>
    <x v="702"/>
    <x v="89"/>
    <x v="3"/>
    <x v="2"/>
    <x v="4"/>
    <n v="4"/>
    <n v="2500"/>
    <n v="10000"/>
    <n v="8870.7000000000007"/>
    <n v="1129.3"/>
    <x v="5"/>
  </r>
  <r>
    <x v="703"/>
    <x v="48"/>
    <x v="1"/>
    <x v="1"/>
    <x v="3"/>
    <n v="3"/>
    <n v="1200"/>
    <n v="3600"/>
    <n v="2617.86"/>
    <n v="982.14"/>
    <x v="5"/>
  </r>
  <r>
    <x v="704"/>
    <x v="310"/>
    <x v="2"/>
    <x v="2"/>
    <x v="4"/>
    <n v="2"/>
    <n v="12000"/>
    <n v="24000"/>
    <n v="17511.61"/>
    <n v="6488.39"/>
    <x v="5"/>
  </r>
  <r>
    <x v="705"/>
    <x v="240"/>
    <x v="4"/>
    <x v="2"/>
    <x v="6"/>
    <n v="8"/>
    <n v="1200"/>
    <n v="9600"/>
    <n v="7172.25"/>
    <n v="2427.75"/>
    <x v="2"/>
  </r>
  <r>
    <x v="706"/>
    <x v="311"/>
    <x v="4"/>
    <x v="0"/>
    <x v="8"/>
    <n v="10"/>
    <n v="12000"/>
    <n v="120000"/>
    <n v="67148.73"/>
    <n v="52851.27"/>
    <x v="1"/>
  </r>
  <r>
    <x v="707"/>
    <x v="297"/>
    <x v="3"/>
    <x v="2"/>
    <x v="6"/>
    <n v="4"/>
    <n v="5000"/>
    <n v="20000"/>
    <n v="15908.23"/>
    <n v="4091.77"/>
    <x v="3"/>
  </r>
  <r>
    <x v="708"/>
    <x v="66"/>
    <x v="4"/>
    <x v="0"/>
    <x v="7"/>
    <n v="1"/>
    <n v="5000"/>
    <n v="5000"/>
    <n v="4206.3100000000004"/>
    <n v="793.69"/>
    <x v="1"/>
  </r>
  <r>
    <x v="709"/>
    <x v="92"/>
    <x v="3"/>
    <x v="2"/>
    <x v="6"/>
    <n v="6"/>
    <n v="150"/>
    <n v="900"/>
    <n v="669.68"/>
    <n v="230.32"/>
    <x v="3"/>
  </r>
  <r>
    <x v="710"/>
    <x v="120"/>
    <x v="0"/>
    <x v="2"/>
    <x v="5"/>
    <n v="10"/>
    <n v="500"/>
    <n v="5000"/>
    <n v="3069.87"/>
    <n v="1930.13"/>
    <x v="2"/>
  </r>
  <r>
    <x v="711"/>
    <x v="5"/>
    <x v="0"/>
    <x v="0"/>
    <x v="0"/>
    <n v="4"/>
    <n v="5000"/>
    <n v="20000"/>
    <n v="12694.4"/>
    <n v="7305.6"/>
    <x v="4"/>
  </r>
  <r>
    <x v="712"/>
    <x v="65"/>
    <x v="1"/>
    <x v="1"/>
    <x v="2"/>
    <n v="10"/>
    <n v="500"/>
    <n v="5000"/>
    <n v="3022.99"/>
    <n v="1977.01"/>
    <x v="1"/>
  </r>
  <r>
    <x v="713"/>
    <x v="210"/>
    <x v="1"/>
    <x v="0"/>
    <x v="7"/>
    <n v="8"/>
    <n v="2500"/>
    <n v="20000"/>
    <n v="11046.37"/>
    <n v="8953.6299999999992"/>
    <x v="2"/>
  </r>
  <r>
    <x v="714"/>
    <x v="72"/>
    <x v="4"/>
    <x v="2"/>
    <x v="6"/>
    <n v="6"/>
    <n v="1200"/>
    <n v="7200"/>
    <n v="6223.27"/>
    <n v="976.73"/>
    <x v="2"/>
  </r>
  <r>
    <x v="715"/>
    <x v="188"/>
    <x v="0"/>
    <x v="1"/>
    <x v="1"/>
    <n v="5"/>
    <n v="1200"/>
    <n v="6000"/>
    <n v="3766.39"/>
    <n v="2233.61"/>
    <x v="1"/>
  </r>
  <r>
    <x v="716"/>
    <x v="312"/>
    <x v="3"/>
    <x v="0"/>
    <x v="8"/>
    <n v="8"/>
    <n v="2500"/>
    <n v="20000"/>
    <n v="11227.94"/>
    <n v="8772.06"/>
    <x v="0"/>
  </r>
  <r>
    <x v="717"/>
    <x v="297"/>
    <x v="1"/>
    <x v="1"/>
    <x v="3"/>
    <n v="2"/>
    <n v="5000"/>
    <n v="10000"/>
    <n v="7313.72"/>
    <n v="2686.28"/>
    <x v="1"/>
  </r>
  <r>
    <x v="718"/>
    <x v="132"/>
    <x v="2"/>
    <x v="0"/>
    <x v="0"/>
    <n v="7"/>
    <n v="2500"/>
    <n v="17500"/>
    <n v="10242.08"/>
    <n v="7257.92"/>
    <x v="3"/>
  </r>
  <r>
    <x v="719"/>
    <x v="195"/>
    <x v="4"/>
    <x v="1"/>
    <x v="1"/>
    <n v="5"/>
    <n v="250"/>
    <n v="1250"/>
    <n v="805.37"/>
    <n v="444.63"/>
    <x v="3"/>
  </r>
  <r>
    <x v="720"/>
    <x v="282"/>
    <x v="4"/>
    <x v="1"/>
    <x v="3"/>
    <n v="7"/>
    <n v="250"/>
    <n v="1750"/>
    <n v="1219.19"/>
    <n v="530.80999999999995"/>
    <x v="2"/>
  </r>
  <r>
    <x v="721"/>
    <x v="72"/>
    <x v="0"/>
    <x v="2"/>
    <x v="4"/>
    <n v="3"/>
    <n v="2500"/>
    <n v="7500"/>
    <n v="4469.24"/>
    <n v="3030.76"/>
    <x v="1"/>
  </r>
  <r>
    <x v="722"/>
    <x v="15"/>
    <x v="0"/>
    <x v="0"/>
    <x v="8"/>
    <n v="4"/>
    <n v="2500"/>
    <n v="10000"/>
    <n v="7012.77"/>
    <n v="2987.23"/>
    <x v="4"/>
  </r>
  <r>
    <x v="723"/>
    <x v="293"/>
    <x v="3"/>
    <x v="0"/>
    <x v="0"/>
    <n v="8"/>
    <n v="12000"/>
    <n v="96000"/>
    <n v="53127.34"/>
    <n v="42872.66"/>
    <x v="4"/>
  </r>
  <r>
    <x v="724"/>
    <x v="118"/>
    <x v="4"/>
    <x v="0"/>
    <x v="7"/>
    <n v="9"/>
    <n v="5000"/>
    <n v="45000"/>
    <n v="29722.7"/>
    <n v="15277.3"/>
    <x v="3"/>
  </r>
  <r>
    <x v="725"/>
    <x v="163"/>
    <x v="1"/>
    <x v="0"/>
    <x v="7"/>
    <n v="1"/>
    <n v="1200"/>
    <n v="1200"/>
    <n v="701.57"/>
    <n v="498.43"/>
    <x v="4"/>
  </r>
  <r>
    <x v="726"/>
    <x v="218"/>
    <x v="4"/>
    <x v="2"/>
    <x v="4"/>
    <n v="2"/>
    <n v="1200"/>
    <n v="2400"/>
    <n v="1945.46"/>
    <n v="454.54"/>
    <x v="3"/>
  </r>
  <r>
    <x v="727"/>
    <x v="313"/>
    <x v="4"/>
    <x v="0"/>
    <x v="7"/>
    <n v="5"/>
    <n v="500"/>
    <n v="2500"/>
    <n v="1392.36"/>
    <n v="1107.6400000000001"/>
    <x v="0"/>
  </r>
  <r>
    <x v="728"/>
    <x v="84"/>
    <x v="0"/>
    <x v="0"/>
    <x v="0"/>
    <n v="10"/>
    <n v="2500"/>
    <n v="25000"/>
    <n v="19436.32"/>
    <n v="5563.68"/>
    <x v="3"/>
  </r>
  <r>
    <x v="729"/>
    <x v="183"/>
    <x v="1"/>
    <x v="2"/>
    <x v="4"/>
    <n v="9"/>
    <n v="1200"/>
    <n v="10800"/>
    <n v="8868.5300000000007"/>
    <n v="1931.47"/>
    <x v="2"/>
  </r>
  <r>
    <x v="730"/>
    <x v="232"/>
    <x v="4"/>
    <x v="0"/>
    <x v="8"/>
    <n v="8"/>
    <n v="5000"/>
    <n v="40000"/>
    <n v="35392.32"/>
    <n v="4607.68"/>
    <x v="2"/>
  </r>
  <r>
    <x v="731"/>
    <x v="303"/>
    <x v="1"/>
    <x v="0"/>
    <x v="7"/>
    <n v="10"/>
    <n v="1200"/>
    <n v="12000"/>
    <n v="10165.379999999999"/>
    <n v="1834.62"/>
    <x v="4"/>
  </r>
  <r>
    <x v="732"/>
    <x v="245"/>
    <x v="4"/>
    <x v="2"/>
    <x v="5"/>
    <n v="6"/>
    <n v="500"/>
    <n v="3000"/>
    <n v="2335.66"/>
    <n v="664.34"/>
    <x v="5"/>
  </r>
  <r>
    <x v="733"/>
    <x v="132"/>
    <x v="2"/>
    <x v="0"/>
    <x v="8"/>
    <n v="5"/>
    <n v="1200"/>
    <n v="6000"/>
    <n v="4940.05"/>
    <n v="1059.95"/>
    <x v="5"/>
  </r>
  <r>
    <x v="734"/>
    <x v="314"/>
    <x v="0"/>
    <x v="2"/>
    <x v="4"/>
    <n v="3"/>
    <n v="250"/>
    <n v="750"/>
    <n v="636.73"/>
    <n v="113.27"/>
    <x v="0"/>
  </r>
  <r>
    <x v="735"/>
    <x v="168"/>
    <x v="1"/>
    <x v="2"/>
    <x v="6"/>
    <n v="2"/>
    <n v="250"/>
    <n v="500"/>
    <n v="304.20999999999998"/>
    <n v="195.79"/>
    <x v="1"/>
  </r>
  <r>
    <x v="736"/>
    <x v="152"/>
    <x v="1"/>
    <x v="2"/>
    <x v="6"/>
    <n v="1"/>
    <n v="150"/>
    <n v="150"/>
    <n v="122.97"/>
    <n v="27.03"/>
    <x v="1"/>
  </r>
  <r>
    <x v="737"/>
    <x v="304"/>
    <x v="4"/>
    <x v="2"/>
    <x v="6"/>
    <n v="3"/>
    <n v="150"/>
    <n v="450"/>
    <n v="350.64"/>
    <n v="99.36"/>
    <x v="4"/>
  </r>
  <r>
    <x v="738"/>
    <x v="315"/>
    <x v="2"/>
    <x v="1"/>
    <x v="1"/>
    <n v="5"/>
    <n v="1200"/>
    <n v="6000"/>
    <n v="4615.6099999999997"/>
    <n v="1384.39"/>
    <x v="4"/>
  </r>
  <r>
    <x v="739"/>
    <x v="63"/>
    <x v="3"/>
    <x v="1"/>
    <x v="2"/>
    <n v="6"/>
    <n v="12000"/>
    <n v="72000"/>
    <n v="62664.86"/>
    <n v="9335.14"/>
    <x v="5"/>
  </r>
  <r>
    <x v="740"/>
    <x v="222"/>
    <x v="2"/>
    <x v="2"/>
    <x v="6"/>
    <n v="8"/>
    <n v="250"/>
    <n v="2000"/>
    <n v="1778.68"/>
    <n v="221.32"/>
    <x v="4"/>
  </r>
  <r>
    <x v="741"/>
    <x v="271"/>
    <x v="3"/>
    <x v="0"/>
    <x v="7"/>
    <n v="8"/>
    <n v="5000"/>
    <n v="40000"/>
    <n v="32484.76"/>
    <n v="7515.24"/>
    <x v="5"/>
  </r>
  <r>
    <x v="742"/>
    <x v="316"/>
    <x v="2"/>
    <x v="0"/>
    <x v="7"/>
    <n v="9"/>
    <n v="500"/>
    <n v="4500"/>
    <n v="3906.55"/>
    <n v="593.45000000000005"/>
    <x v="4"/>
  </r>
  <r>
    <x v="743"/>
    <x v="130"/>
    <x v="4"/>
    <x v="1"/>
    <x v="3"/>
    <n v="5"/>
    <n v="500"/>
    <n v="2500"/>
    <n v="1735.68"/>
    <n v="764.32"/>
    <x v="1"/>
  </r>
  <r>
    <x v="744"/>
    <x v="251"/>
    <x v="1"/>
    <x v="1"/>
    <x v="1"/>
    <n v="3"/>
    <n v="500"/>
    <n v="1500"/>
    <n v="975.55"/>
    <n v="524.45000000000005"/>
    <x v="0"/>
  </r>
  <r>
    <x v="745"/>
    <x v="263"/>
    <x v="2"/>
    <x v="2"/>
    <x v="4"/>
    <n v="5"/>
    <n v="150"/>
    <n v="750"/>
    <n v="613.54"/>
    <n v="136.46"/>
    <x v="4"/>
  </r>
  <r>
    <x v="746"/>
    <x v="142"/>
    <x v="3"/>
    <x v="1"/>
    <x v="1"/>
    <n v="6"/>
    <n v="250"/>
    <n v="1500"/>
    <n v="1041.1600000000001"/>
    <n v="458.84"/>
    <x v="2"/>
  </r>
  <r>
    <x v="747"/>
    <x v="289"/>
    <x v="1"/>
    <x v="1"/>
    <x v="2"/>
    <n v="7"/>
    <n v="12000"/>
    <n v="84000"/>
    <n v="57323.73"/>
    <n v="26676.27"/>
    <x v="2"/>
  </r>
  <r>
    <x v="748"/>
    <x v="195"/>
    <x v="4"/>
    <x v="0"/>
    <x v="0"/>
    <n v="9"/>
    <n v="12000"/>
    <n v="108000"/>
    <n v="89638.45"/>
    <n v="18361.55"/>
    <x v="3"/>
  </r>
  <r>
    <x v="749"/>
    <x v="288"/>
    <x v="1"/>
    <x v="0"/>
    <x v="7"/>
    <n v="9"/>
    <n v="12000"/>
    <n v="108000"/>
    <n v="69561.47"/>
    <n v="38438.53"/>
    <x v="4"/>
  </r>
  <r>
    <x v="750"/>
    <x v="24"/>
    <x v="4"/>
    <x v="1"/>
    <x v="3"/>
    <n v="2"/>
    <n v="5000"/>
    <n v="10000"/>
    <n v="7093.7"/>
    <n v="2906.3"/>
    <x v="0"/>
  </r>
  <r>
    <x v="751"/>
    <x v="35"/>
    <x v="2"/>
    <x v="0"/>
    <x v="8"/>
    <n v="4"/>
    <n v="500"/>
    <n v="2000"/>
    <n v="1113.58"/>
    <n v="886.42"/>
    <x v="1"/>
  </r>
  <r>
    <x v="752"/>
    <x v="41"/>
    <x v="1"/>
    <x v="1"/>
    <x v="2"/>
    <n v="5"/>
    <n v="500"/>
    <n v="2500"/>
    <n v="1484.41"/>
    <n v="1015.59"/>
    <x v="4"/>
  </r>
  <r>
    <x v="753"/>
    <x v="293"/>
    <x v="4"/>
    <x v="1"/>
    <x v="2"/>
    <n v="1"/>
    <n v="1200"/>
    <n v="1200"/>
    <n v="751.22"/>
    <n v="448.78"/>
    <x v="2"/>
  </r>
  <r>
    <x v="754"/>
    <x v="201"/>
    <x v="1"/>
    <x v="2"/>
    <x v="4"/>
    <n v="1"/>
    <n v="500"/>
    <n v="500"/>
    <n v="289.04000000000002"/>
    <n v="210.96"/>
    <x v="3"/>
  </r>
  <r>
    <x v="755"/>
    <x v="233"/>
    <x v="3"/>
    <x v="2"/>
    <x v="5"/>
    <n v="9"/>
    <n v="1200"/>
    <n v="10800"/>
    <n v="6626.46"/>
    <n v="4173.54"/>
    <x v="1"/>
  </r>
  <r>
    <x v="756"/>
    <x v="67"/>
    <x v="0"/>
    <x v="1"/>
    <x v="1"/>
    <n v="4"/>
    <n v="1200"/>
    <n v="4800"/>
    <n v="3935.66"/>
    <n v="864.34"/>
    <x v="0"/>
  </r>
  <r>
    <x v="757"/>
    <x v="317"/>
    <x v="0"/>
    <x v="1"/>
    <x v="2"/>
    <n v="8"/>
    <n v="5000"/>
    <n v="40000"/>
    <n v="32793.94"/>
    <n v="7206.06"/>
    <x v="2"/>
  </r>
  <r>
    <x v="758"/>
    <x v="156"/>
    <x v="2"/>
    <x v="2"/>
    <x v="6"/>
    <n v="5"/>
    <n v="500"/>
    <n v="2500"/>
    <n v="1513.79"/>
    <n v="986.21"/>
    <x v="5"/>
  </r>
  <r>
    <x v="759"/>
    <x v="206"/>
    <x v="1"/>
    <x v="1"/>
    <x v="3"/>
    <n v="8"/>
    <n v="5000"/>
    <n v="40000"/>
    <n v="26183.38"/>
    <n v="13816.62"/>
    <x v="0"/>
  </r>
  <r>
    <x v="760"/>
    <x v="287"/>
    <x v="0"/>
    <x v="1"/>
    <x v="2"/>
    <n v="4"/>
    <n v="5000"/>
    <n v="20000"/>
    <n v="14039.13"/>
    <n v="5960.87"/>
    <x v="3"/>
  </r>
  <r>
    <x v="761"/>
    <x v="156"/>
    <x v="2"/>
    <x v="0"/>
    <x v="0"/>
    <n v="7"/>
    <n v="12000"/>
    <n v="84000"/>
    <n v="53346.83"/>
    <n v="30653.17"/>
    <x v="0"/>
  </r>
  <r>
    <x v="762"/>
    <x v="202"/>
    <x v="0"/>
    <x v="2"/>
    <x v="6"/>
    <n v="10"/>
    <n v="250"/>
    <n v="2500"/>
    <n v="1699.97"/>
    <n v="800.03"/>
    <x v="4"/>
  </r>
  <r>
    <x v="763"/>
    <x v="300"/>
    <x v="1"/>
    <x v="2"/>
    <x v="5"/>
    <n v="10"/>
    <n v="500"/>
    <n v="5000"/>
    <n v="4378.99"/>
    <n v="621.01"/>
    <x v="1"/>
  </r>
  <r>
    <x v="764"/>
    <x v="65"/>
    <x v="0"/>
    <x v="2"/>
    <x v="6"/>
    <n v="3"/>
    <n v="5000"/>
    <n v="15000"/>
    <n v="11065.85"/>
    <n v="3934.15"/>
    <x v="2"/>
  </r>
  <r>
    <x v="765"/>
    <x v="312"/>
    <x v="3"/>
    <x v="1"/>
    <x v="3"/>
    <n v="9"/>
    <n v="12000"/>
    <n v="108000"/>
    <n v="83767.62"/>
    <n v="24232.38"/>
    <x v="0"/>
  </r>
  <r>
    <x v="766"/>
    <x v="233"/>
    <x v="1"/>
    <x v="1"/>
    <x v="2"/>
    <n v="7"/>
    <n v="500"/>
    <n v="3500"/>
    <n v="2812.39"/>
    <n v="687.61"/>
    <x v="2"/>
  </r>
  <r>
    <x v="767"/>
    <x v="243"/>
    <x v="0"/>
    <x v="0"/>
    <x v="8"/>
    <n v="9"/>
    <n v="500"/>
    <n v="4500"/>
    <n v="3329.81"/>
    <n v="1170.19"/>
    <x v="5"/>
  </r>
  <r>
    <x v="768"/>
    <x v="214"/>
    <x v="2"/>
    <x v="1"/>
    <x v="1"/>
    <n v="6"/>
    <n v="500"/>
    <n v="3000"/>
    <n v="2419.02"/>
    <n v="580.98"/>
    <x v="5"/>
  </r>
  <r>
    <x v="769"/>
    <x v="289"/>
    <x v="2"/>
    <x v="1"/>
    <x v="2"/>
    <n v="9"/>
    <n v="250"/>
    <n v="2250"/>
    <n v="1591.39"/>
    <n v="658.61"/>
    <x v="3"/>
  </r>
  <r>
    <x v="770"/>
    <x v="307"/>
    <x v="2"/>
    <x v="2"/>
    <x v="5"/>
    <n v="9"/>
    <n v="1200"/>
    <n v="10800"/>
    <n v="8713.23"/>
    <n v="2086.77"/>
    <x v="3"/>
  </r>
  <r>
    <x v="771"/>
    <x v="84"/>
    <x v="3"/>
    <x v="0"/>
    <x v="0"/>
    <n v="6"/>
    <n v="5000"/>
    <n v="30000"/>
    <n v="17165.09"/>
    <n v="12834.91"/>
    <x v="4"/>
  </r>
  <r>
    <x v="772"/>
    <x v="195"/>
    <x v="4"/>
    <x v="0"/>
    <x v="7"/>
    <n v="8"/>
    <n v="12000"/>
    <n v="96000"/>
    <n v="71329.320000000007"/>
    <n v="24670.68"/>
    <x v="3"/>
  </r>
  <r>
    <x v="773"/>
    <x v="122"/>
    <x v="1"/>
    <x v="2"/>
    <x v="6"/>
    <n v="6"/>
    <n v="150"/>
    <n v="900"/>
    <n v="525.32000000000005"/>
    <n v="374.68"/>
    <x v="1"/>
  </r>
  <r>
    <x v="774"/>
    <x v="277"/>
    <x v="1"/>
    <x v="1"/>
    <x v="2"/>
    <n v="1"/>
    <n v="250"/>
    <n v="250"/>
    <n v="146.87"/>
    <n v="103.13"/>
    <x v="1"/>
  </r>
  <r>
    <x v="775"/>
    <x v="140"/>
    <x v="2"/>
    <x v="0"/>
    <x v="7"/>
    <n v="7"/>
    <n v="5000"/>
    <n v="35000"/>
    <n v="25251.39"/>
    <n v="9748.61"/>
    <x v="3"/>
  </r>
  <r>
    <x v="776"/>
    <x v="221"/>
    <x v="0"/>
    <x v="1"/>
    <x v="3"/>
    <n v="4"/>
    <n v="2500"/>
    <n v="10000"/>
    <n v="8012.46"/>
    <n v="1987.54"/>
    <x v="0"/>
  </r>
  <r>
    <x v="777"/>
    <x v="206"/>
    <x v="2"/>
    <x v="2"/>
    <x v="5"/>
    <n v="8"/>
    <n v="12000"/>
    <n v="96000"/>
    <n v="74267.600000000006"/>
    <n v="21732.400000000001"/>
    <x v="0"/>
  </r>
  <r>
    <x v="778"/>
    <x v="318"/>
    <x v="1"/>
    <x v="2"/>
    <x v="4"/>
    <n v="1"/>
    <n v="12000"/>
    <n v="12000"/>
    <n v="9191.1200000000008"/>
    <n v="2808.88"/>
    <x v="0"/>
  </r>
  <r>
    <x v="779"/>
    <x v="319"/>
    <x v="1"/>
    <x v="1"/>
    <x v="3"/>
    <n v="2"/>
    <n v="250"/>
    <n v="500"/>
    <n v="443.1"/>
    <n v="56.9"/>
    <x v="0"/>
  </r>
  <r>
    <x v="780"/>
    <x v="259"/>
    <x v="0"/>
    <x v="1"/>
    <x v="1"/>
    <n v="7"/>
    <n v="250"/>
    <n v="1750"/>
    <n v="1080.79"/>
    <n v="669.21"/>
    <x v="5"/>
  </r>
  <r>
    <x v="781"/>
    <x v="65"/>
    <x v="2"/>
    <x v="0"/>
    <x v="0"/>
    <n v="9"/>
    <n v="5000"/>
    <n v="45000"/>
    <n v="33540.730000000003"/>
    <n v="11459.27"/>
    <x v="3"/>
  </r>
  <r>
    <x v="782"/>
    <x v="148"/>
    <x v="2"/>
    <x v="0"/>
    <x v="8"/>
    <n v="7"/>
    <n v="150"/>
    <n v="1050"/>
    <n v="638.79999999999995"/>
    <n v="411.2"/>
    <x v="2"/>
  </r>
  <r>
    <x v="783"/>
    <x v="67"/>
    <x v="4"/>
    <x v="0"/>
    <x v="8"/>
    <n v="3"/>
    <n v="2500"/>
    <n v="7500"/>
    <n v="6745.89"/>
    <n v="754.11"/>
    <x v="3"/>
  </r>
  <r>
    <x v="784"/>
    <x v="150"/>
    <x v="4"/>
    <x v="0"/>
    <x v="8"/>
    <n v="6"/>
    <n v="1200"/>
    <n v="7200"/>
    <n v="5885.74"/>
    <n v="1314.26"/>
    <x v="5"/>
  </r>
  <r>
    <x v="785"/>
    <x v="22"/>
    <x v="4"/>
    <x v="1"/>
    <x v="1"/>
    <n v="9"/>
    <n v="250"/>
    <n v="2250"/>
    <n v="1532.86"/>
    <n v="717.14"/>
    <x v="3"/>
  </r>
  <r>
    <x v="786"/>
    <x v="252"/>
    <x v="2"/>
    <x v="2"/>
    <x v="4"/>
    <n v="7"/>
    <n v="150"/>
    <n v="1050"/>
    <n v="844.42"/>
    <n v="205.58"/>
    <x v="1"/>
  </r>
  <r>
    <x v="787"/>
    <x v="137"/>
    <x v="0"/>
    <x v="0"/>
    <x v="0"/>
    <n v="5"/>
    <n v="150"/>
    <n v="750"/>
    <n v="491.34"/>
    <n v="258.66000000000003"/>
    <x v="3"/>
  </r>
  <r>
    <x v="788"/>
    <x v="275"/>
    <x v="2"/>
    <x v="1"/>
    <x v="1"/>
    <n v="5"/>
    <n v="2500"/>
    <n v="12500"/>
    <n v="9111.81"/>
    <n v="3388.19"/>
    <x v="4"/>
  </r>
  <r>
    <x v="789"/>
    <x v="5"/>
    <x v="4"/>
    <x v="1"/>
    <x v="2"/>
    <n v="8"/>
    <n v="500"/>
    <n v="4000"/>
    <n v="2418.5500000000002"/>
    <n v="1581.45"/>
    <x v="5"/>
  </r>
  <r>
    <x v="790"/>
    <x v="275"/>
    <x v="3"/>
    <x v="1"/>
    <x v="2"/>
    <n v="5"/>
    <n v="12000"/>
    <n v="60000"/>
    <n v="39306.35"/>
    <n v="20693.650000000001"/>
    <x v="5"/>
  </r>
  <r>
    <x v="791"/>
    <x v="189"/>
    <x v="0"/>
    <x v="1"/>
    <x v="1"/>
    <n v="2"/>
    <n v="5000"/>
    <n v="10000"/>
    <n v="6636.42"/>
    <n v="3363.58"/>
    <x v="2"/>
  </r>
  <r>
    <x v="792"/>
    <x v="256"/>
    <x v="4"/>
    <x v="0"/>
    <x v="7"/>
    <n v="10"/>
    <n v="12000"/>
    <n v="120000"/>
    <n v="104121.54"/>
    <n v="15878.46"/>
    <x v="1"/>
  </r>
  <r>
    <x v="793"/>
    <x v="320"/>
    <x v="4"/>
    <x v="0"/>
    <x v="7"/>
    <n v="7"/>
    <n v="150"/>
    <n v="1050"/>
    <n v="864.19"/>
    <n v="185.81"/>
    <x v="2"/>
  </r>
  <r>
    <x v="794"/>
    <x v="235"/>
    <x v="1"/>
    <x v="2"/>
    <x v="5"/>
    <n v="4"/>
    <n v="5000"/>
    <n v="20000"/>
    <n v="15569.45"/>
    <n v="4430.55"/>
    <x v="0"/>
  </r>
  <r>
    <x v="795"/>
    <x v="69"/>
    <x v="2"/>
    <x v="0"/>
    <x v="8"/>
    <n v="1"/>
    <n v="500"/>
    <n v="500"/>
    <n v="366.77"/>
    <n v="133.22999999999999"/>
    <x v="5"/>
  </r>
  <r>
    <x v="796"/>
    <x v="35"/>
    <x v="3"/>
    <x v="1"/>
    <x v="3"/>
    <n v="9"/>
    <n v="5000"/>
    <n v="45000"/>
    <n v="28227.56"/>
    <n v="16772.439999999999"/>
    <x v="2"/>
  </r>
  <r>
    <x v="797"/>
    <x v="7"/>
    <x v="3"/>
    <x v="0"/>
    <x v="7"/>
    <n v="9"/>
    <n v="150"/>
    <n v="1350"/>
    <n v="847.44"/>
    <n v="502.56"/>
    <x v="4"/>
  </r>
  <r>
    <x v="798"/>
    <x v="35"/>
    <x v="2"/>
    <x v="1"/>
    <x v="3"/>
    <n v="2"/>
    <n v="1200"/>
    <n v="2400"/>
    <n v="1800.01"/>
    <n v="599.99"/>
    <x v="2"/>
  </r>
  <r>
    <x v="799"/>
    <x v="222"/>
    <x v="0"/>
    <x v="2"/>
    <x v="5"/>
    <n v="7"/>
    <n v="2500"/>
    <n v="17500"/>
    <n v="12286.26"/>
    <n v="5213.74"/>
    <x v="4"/>
  </r>
  <r>
    <x v="800"/>
    <x v="275"/>
    <x v="0"/>
    <x v="2"/>
    <x v="6"/>
    <n v="4"/>
    <n v="1200"/>
    <n v="4800"/>
    <n v="3304.14"/>
    <n v="1495.86"/>
    <x v="5"/>
  </r>
  <r>
    <x v="801"/>
    <x v="99"/>
    <x v="3"/>
    <x v="0"/>
    <x v="7"/>
    <n v="9"/>
    <n v="250"/>
    <n v="2250"/>
    <n v="1428.32"/>
    <n v="821.68"/>
    <x v="3"/>
  </r>
  <r>
    <x v="802"/>
    <x v="143"/>
    <x v="4"/>
    <x v="0"/>
    <x v="7"/>
    <n v="2"/>
    <n v="150"/>
    <n v="300"/>
    <n v="235.53"/>
    <n v="64.47"/>
    <x v="3"/>
  </r>
  <r>
    <x v="803"/>
    <x v="244"/>
    <x v="0"/>
    <x v="1"/>
    <x v="3"/>
    <n v="6"/>
    <n v="2500"/>
    <n v="15000"/>
    <n v="11690.9"/>
    <n v="3309.1"/>
    <x v="3"/>
  </r>
  <r>
    <x v="804"/>
    <x v="253"/>
    <x v="0"/>
    <x v="0"/>
    <x v="8"/>
    <n v="10"/>
    <n v="250"/>
    <n v="2500"/>
    <n v="1760.41"/>
    <n v="739.59"/>
    <x v="0"/>
  </r>
  <r>
    <x v="805"/>
    <x v="240"/>
    <x v="2"/>
    <x v="2"/>
    <x v="5"/>
    <n v="2"/>
    <n v="150"/>
    <n v="300"/>
    <n v="242.66"/>
    <n v="57.34"/>
    <x v="4"/>
  </r>
  <r>
    <x v="806"/>
    <x v="244"/>
    <x v="3"/>
    <x v="2"/>
    <x v="5"/>
    <n v="6"/>
    <n v="5000"/>
    <n v="30000"/>
    <n v="24944.95"/>
    <n v="5055.05"/>
    <x v="2"/>
  </r>
  <r>
    <x v="807"/>
    <x v="321"/>
    <x v="2"/>
    <x v="1"/>
    <x v="3"/>
    <n v="4"/>
    <n v="5000"/>
    <n v="20000"/>
    <n v="14766.04"/>
    <n v="5233.96"/>
    <x v="5"/>
  </r>
  <r>
    <x v="808"/>
    <x v="238"/>
    <x v="1"/>
    <x v="2"/>
    <x v="6"/>
    <n v="8"/>
    <n v="2500"/>
    <n v="20000"/>
    <n v="16109.47"/>
    <n v="3890.53"/>
    <x v="2"/>
  </r>
  <r>
    <x v="809"/>
    <x v="32"/>
    <x v="4"/>
    <x v="0"/>
    <x v="7"/>
    <n v="9"/>
    <n v="150"/>
    <n v="1350"/>
    <n v="863.2"/>
    <n v="486.8"/>
    <x v="4"/>
  </r>
  <r>
    <x v="810"/>
    <x v="219"/>
    <x v="1"/>
    <x v="0"/>
    <x v="7"/>
    <n v="5"/>
    <n v="150"/>
    <n v="750"/>
    <n v="534.54999999999995"/>
    <n v="215.45"/>
    <x v="2"/>
  </r>
  <r>
    <x v="811"/>
    <x v="263"/>
    <x v="3"/>
    <x v="0"/>
    <x v="8"/>
    <n v="6"/>
    <n v="12000"/>
    <n v="72000"/>
    <n v="42318.86"/>
    <n v="29681.14"/>
    <x v="4"/>
  </r>
  <r>
    <x v="812"/>
    <x v="134"/>
    <x v="2"/>
    <x v="2"/>
    <x v="6"/>
    <n v="2"/>
    <n v="500"/>
    <n v="1000"/>
    <n v="719.63"/>
    <n v="280.37"/>
    <x v="1"/>
  </r>
  <r>
    <x v="813"/>
    <x v="260"/>
    <x v="1"/>
    <x v="1"/>
    <x v="2"/>
    <n v="9"/>
    <n v="1200"/>
    <n v="10800"/>
    <n v="8059.4"/>
    <n v="2740.6"/>
    <x v="1"/>
  </r>
  <r>
    <x v="814"/>
    <x v="17"/>
    <x v="1"/>
    <x v="1"/>
    <x v="1"/>
    <n v="5"/>
    <n v="500"/>
    <n v="2500"/>
    <n v="1803.69"/>
    <n v="696.31"/>
    <x v="3"/>
  </r>
  <r>
    <x v="815"/>
    <x v="322"/>
    <x v="4"/>
    <x v="0"/>
    <x v="8"/>
    <n v="6"/>
    <n v="5000"/>
    <n v="30000"/>
    <n v="19674.43"/>
    <n v="10325.57"/>
    <x v="1"/>
  </r>
  <r>
    <x v="816"/>
    <x v="215"/>
    <x v="4"/>
    <x v="0"/>
    <x v="8"/>
    <n v="7"/>
    <n v="12000"/>
    <n v="84000"/>
    <n v="75316.63"/>
    <n v="8683.3700000000008"/>
    <x v="4"/>
  </r>
  <r>
    <x v="817"/>
    <x v="15"/>
    <x v="2"/>
    <x v="1"/>
    <x v="3"/>
    <n v="7"/>
    <n v="5000"/>
    <n v="35000"/>
    <n v="20931.439999999999"/>
    <n v="14068.56"/>
    <x v="0"/>
  </r>
  <r>
    <x v="818"/>
    <x v="323"/>
    <x v="3"/>
    <x v="0"/>
    <x v="7"/>
    <n v="4"/>
    <n v="1200"/>
    <n v="4800"/>
    <n v="3043.81"/>
    <n v="1756.19"/>
    <x v="3"/>
  </r>
  <r>
    <x v="819"/>
    <x v="192"/>
    <x v="0"/>
    <x v="0"/>
    <x v="8"/>
    <n v="8"/>
    <n v="2500"/>
    <n v="20000"/>
    <n v="11922.4"/>
    <n v="8077.6"/>
    <x v="5"/>
  </r>
  <r>
    <x v="820"/>
    <x v="97"/>
    <x v="2"/>
    <x v="0"/>
    <x v="7"/>
    <n v="4"/>
    <n v="12000"/>
    <n v="48000"/>
    <n v="28720.240000000002"/>
    <n v="19279.759999999998"/>
    <x v="4"/>
  </r>
  <r>
    <x v="821"/>
    <x v="295"/>
    <x v="2"/>
    <x v="2"/>
    <x v="5"/>
    <n v="10"/>
    <n v="250"/>
    <n v="2500"/>
    <n v="1652.81"/>
    <n v="847.19"/>
    <x v="0"/>
  </r>
  <r>
    <x v="822"/>
    <x v="138"/>
    <x v="4"/>
    <x v="1"/>
    <x v="2"/>
    <n v="6"/>
    <n v="12000"/>
    <n v="72000"/>
    <n v="61766.879999999997"/>
    <n v="10233.120000000001"/>
    <x v="2"/>
  </r>
  <r>
    <x v="823"/>
    <x v="224"/>
    <x v="4"/>
    <x v="2"/>
    <x v="4"/>
    <n v="8"/>
    <n v="5000"/>
    <n v="40000"/>
    <n v="35072.76"/>
    <n v="4927.24"/>
    <x v="4"/>
  </r>
  <r>
    <x v="824"/>
    <x v="195"/>
    <x v="2"/>
    <x v="1"/>
    <x v="2"/>
    <n v="3"/>
    <n v="250"/>
    <n v="750"/>
    <n v="419.38"/>
    <n v="330.62"/>
    <x v="3"/>
  </r>
  <r>
    <x v="825"/>
    <x v="264"/>
    <x v="1"/>
    <x v="0"/>
    <x v="7"/>
    <n v="10"/>
    <n v="250"/>
    <n v="2500"/>
    <n v="1896.82"/>
    <n v="603.17999999999995"/>
    <x v="3"/>
  </r>
  <r>
    <x v="826"/>
    <x v="167"/>
    <x v="3"/>
    <x v="1"/>
    <x v="1"/>
    <n v="8"/>
    <n v="250"/>
    <n v="2000"/>
    <n v="1451.63"/>
    <n v="548.37"/>
    <x v="0"/>
  </r>
  <r>
    <x v="827"/>
    <x v="88"/>
    <x v="0"/>
    <x v="0"/>
    <x v="8"/>
    <n v="3"/>
    <n v="12000"/>
    <n v="36000"/>
    <n v="24682"/>
    <n v="11318"/>
    <x v="4"/>
  </r>
  <r>
    <x v="828"/>
    <x v="287"/>
    <x v="4"/>
    <x v="1"/>
    <x v="2"/>
    <n v="1"/>
    <n v="1200"/>
    <n v="1200"/>
    <n v="981.11"/>
    <n v="218.89"/>
    <x v="2"/>
  </r>
  <r>
    <x v="829"/>
    <x v="49"/>
    <x v="3"/>
    <x v="1"/>
    <x v="1"/>
    <n v="4"/>
    <n v="12000"/>
    <n v="48000"/>
    <n v="29836.639999999999"/>
    <n v="18163.36"/>
    <x v="5"/>
  </r>
  <r>
    <x v="830"/>
    <x v="78"/>
    <x v="3"/>
    <x v="2"/>
    <x v="6"/>
    <n v="6"/>
    <n v="12000"/>
    <n v="72000"/>
    <n v="51130.13"/>
    <n v="20869.87"/>
    <x v="2"/>
  </r>
  <r>
    <x v="831"/>
    <x v="195"/>
    <x v="2"/>
    <x v="1"/>
    <x v="1"/>
    <n v="7"/>
    <n v="5000"/>
    <n v="35000"/>
    <n v="23082.99"/>
    <n v="11917.01"/>
    <x v="5"/>
  </r>
  <r>
    <x v="832"/>
    <x v="324"/>
    <x v="1"/>
    <x v="0"/>
    <x v="7"/>
    <n v="1"/>
    <n v="2500"/>
    <n v="2500"/>
    <n v="1470.65"/>
    <n v="1029.3499999999999"/>
    <x v="4"/>
  </r>
  <r>
    <x v="833"/>
    <x v="231"/>
    <x v="2"/>
    <x v="0"/>
    <x v="7"/>
    <n v="7"/>
    <n v="5000"/>
    <n v="35000"/>
    <n v="19730.830000000002"/>
    <n v="15269.17"/>
    <x v="0"/>
  </r>
  <r>
    <x v="834"/>
    <x v="325"/>
    <x v="4"/>
    <x v="1"/>
    <x v="2"/>
    <n v="5"/>
    <n v="1200"/>
    <n v="6000"/>
    <n v="4135.88"/>
    <n v="1864.12"/>
    <x v="2"/>
  </r>
  <r>
    <x v="835"/>
    <x v="23"/>
    <x v="2"/>
    <x v="1"/>
    <x v="3"/>
    <n v="5"/>
    <n v="2500"/>
    <n v="12500"/>
    <n v="10895.77"/>
    <n v="1604.23"/>
    <x v="4"/>
  </r>
  <r>
    <x v="836"/>
    <x v="20"/>
    <x v="0"/>
    <x v="2"/>
    <x v="6"/>
    <n v="8"/>
    <n v="150"/>
    <n v="1200"/>
    <n v="963.51"/>
    <n v="236.49"/>
    <x v="5"/>
  </r>
  <r>
    <x v="837"/>
    <x v="181"/>
    <x v="1"/>
    <x v="0"/>
    <x v="7"/>
    <n v="3"/>
    <n v="1200"/>
    <n v="3600"/>
    <n v="2501.08"/>
    <n v="1098.92"/>
    <x v="4"/>
  </r>
  <r>
    <x v="838"/>
    <x v="272"/>
    <x v="0"/>
    <x v="2"/>
    <x v="6"/>
    <n v="4"/>
    <n v="1200"/>
    <n v="4800"/>
    <n v="2791.5"/>
    <n v="2008.5"/>
    <x v="0"/>
  </r>
  <r>
    <x v="839"/>
    <x v="229"/>
    <x v="4"/>
    <x v="0"/>
    <x v="0"/>
    <n v="2"/>
    <n v="150"/>
    <n v="300"/>
    <n v="239.15"/>
    <n v="60.85"/>
    <x v="1"/>
  </r>
  <r>
    <x v="840"/>
    <x v="209"/>
    <x v="2"/>
    <x v="0"/>
    <x v="7"/>
    <n v="7"/>
    <n v="5000"/>
    <n v="35000"/>
    <n v="28940.57"/>
    <n v="6059.43"/>
    <x v="4"/>
  </r>
  <r>
    <x v="841"/>
    <x v="320"/>
    <x v="2"/>
    <x v="2"/>
    <x v="6"/>
    <n v="7"/>
    <n v="150"/>
    <n v="1050"/>
    <n v="859.84"/>
    <n v="190.16"/>
    <x v="0"/>
  </r>
  <r>
    <x v="842"/>
    <x v="77"/>
    <x v="3"/>
    <x v="1"/>
    <x v="2"/>
    <n v="3"/>
    <n v="250"/>
    <n v="750"/>
    <n v="614.4"/>
    <n v="135.6"/>
    <x v="3"/>
  </r>
  <r>
    <x v="843"/>
    <x v="96"/>
    <x v="0"/>
    <x v="2"/>
    <x v="6"/>
    <n v="8"/>
    <n v="500"/>
    <n v="4000"/>
    <n v="3077.03"/>
    <n v="922.97"/>
    <x v="4"/>
  </r>
  <r>
    <x v="844"/>
    <x v="107"/>
    <x v="2"/>
    <x v="1"/>
    <x v="1"/>
    <n v="5"/>
    <n v="150"/>
    <n v="750"/>
    <n v="532.89"/>
    <n v="217.11"/>
    <x v="1"/>
  </r>
  <r>
    <x v="845"/>
    <x v="63"/>
    <x v="3"/>
    <x v="0"/>
    <x v="8"/>
    <n v="4"/>
    <n v="250"/>
    <n v="1000"/>
    <n v="756.1"/>
    <n v="243.9"/>
    <x v="2"/>
  </r>
  <r>
    <x v="846"/>
    <x v="290"/>
    <x v="4"/>
    <x v="2"/>
    <x v="5"/>
    <n v="10"/>
    <n v="2500"/>
    <n v="25000"/>
    <n v="13807.51"/>
    <n v="11192.49"/>
    <x v="5"/>
  </r>
  <r>
    <x v="847"/>
    <x v="11"/>
    <x v="4"/>
    <x v="0"/>
    <x v="7"/>
    <n v="4"/>
    <n v="150"/>
    <n v="600"/>
    <n v="368.82"/>
    <n v="231.18"/>
    <x v="1"/>
  </r>
  <r>
    <x v="848"/>
    <x v="225"/>
    <x v="1"/>
    <x v="1"/>
    <x v="2"/>
    <n v="10"/>
    <n v="12000"/>
    <n v="120000"/>
    <n v="91337.99"/>
    <n v="28662.01"/>
    <x v="1"/>
  </r>
  <r>
    <x v="849"/>
    <x v="326"/>
    <x v="2"/>
    <x v="1"/>
    <x v="3"/>
    <n v="3"/>
    <n v="250"/>
    <n v="750"/>
    <n v="588.91999999999996"/>
    <n v="161.08000000000001"/>
    <x v="5"/>
  </r>
  <r>
    <x v="850"/>
    <x v="261"/>
    <x v="1"/>
    <x v="0"/>
    <x v="0"/>
    <n v="8"/>
    <n v="5000"/>
    <n v="40000"/>
    <n v="30105.53"/>
    <n v="9894.4699999999993"/>
    <x v="3"/>
  </r>
  <r>
    <x v="851"/>
    <x v="327"/>
    <x v="2"/>
    <x v="2"/>
    <x v="4"/>
    <n v="7"/>
    <n v="12000"/>
    <n v="84000"/>
    <n v="48189.4"/>
    <n v="35810.6"/>
    <x v="1"/>
  </r>
  <r>
    <x v="852"/>
    <x v="214"/>
    <x v="4"/>
    <x v="2"/>
    <x v="4"/>
    <n v="3"/>
    <n v="150"/>
    <n v="450"/>
    <n v="356.9"/>
    <n v="93.1"/>
    <x v="5"/>
  </r>
  <r>
    <x v="853"/>
    <x v="179"/>
    <x v="1"/>
    <x v="2"/>
    <x v="6"/>
    <n v="4"/>
    <n v="5000"/>
    <n v="20000"/>
    <n v="12463.36"/>
    <n v="7536.64"/>
    <x v="5"/>
  </r>
  <r>
    <x v="854"/>
    <x v="97"/>
    <x v="2"/>
    <x v="0"/>
    <x v="7"/>
    <n v="9"/>
    <n v="150"/>
    <n v="1350"/>
    <n v="971.03"/>
    <n v="378.97"/>
    <x v="0"/>
  </r>
  <r>
    <x v="855"/>
    <x v="162"/>
    <x v="2"/>
    <x v="2"/>
    <x v="4"/>
    <n v="10"/>
    <n v="12000"/>
    <n v="120000"/>
    <n v="79292.52"/>
    <n v="40707.480000000003"/>
    <x v="5"/>
  </r>
  <r>
    <x v="856"/>
    <x v="159"/>
    <x v="3"/>
    <x v="2"/>
    <x v="5"/>
    <n v="10"/>
    <n v="2500"/>
    <n v="25000"/>
    <n v="18093.47"/>
    <n v="6906.53"/>
    <x v="2"/>
  </r>
  <r>
    <x v="857"/>
    <x v="193"/>
    <x v="1"/>
    <x v="1"/>
    <x v="1"/>
    <n v="4"/>
    <n v="5000"/>
    <n v="20000"/>
    <n v="13033.42"/>
    <n v="6966.58"/>
    <x v="1"/>
  </r>
  <r>
    <x v="858"/>
    <x v="220"/>
    <x v="3"/>
    <x v="1"/>
    <x v="3"/>
    <n v="2"/>
    <n v="5000"/>
    <n v="10000"/>
    <n v="8468.24"/>
    <n v="1531.76"/>
    <x v="2"/>
  </r>
  <r>
    <x v="859"/>
    <x v="144"/>
    <x v="1"/>
    <x v="1"/>
    <x v="3"/>
    <n v="6"/>
    <n v="2500"/>
    <n v="15000"/>
    <n v="12481.73"/>
    <n v="2518.27"/>
    <x v="0"/>
  </r>
  <r>
    <x v="860"/>
    <x v="47"/>
    <x v="4"/>
    <x v="1"/>
    <x v="1"/>
    <n v="5"/>
    <n v="500"/>
    <n v="2500"/>
    <n v="2066.42"/>
    <n v="433.58"/>
    <x v="5"/>
  </r>
  <r>
    <x v="861"/>
    <x v="82"/>
    <x v="3"/>
    <x v="0"/>
    <x v="8"/>
    <n v="1"/>
    <n v="150"/>
    <n v="150"/>
    <n v="118.51"/>
    <n v="31.49"/>
    <x v="0"/>
  </r>
  <r>
    <x v="862"/>
    <x v="225"/>
    <x v="4"/>
    <x v="0"/>
    <x v="7"/>
    <n v="1"/>
    <n v="12000"/>
    <n v="12000"/>
    <n v="7337.64"/>
    <n v="4662.3599999999997"/>
    <x v="0"/>
  </r>
  <r>
    <x v="863"/>
    <x v="130"/>
    <x v="3"/>
    <x v="2"/>
    <x v="4"/>
    <n v="1"/>
    <n v="5000"/>
    <n v="5000"/>
    <n v="2987.57"/>
    <n v="2012.43"/>
    <x v="5"/>
  </r>
  <r>
    <x v="864"/>
    <x v="317"/>
    <x v="4"/>
    <x v="2"/>
    <x v="4"/>
    <n v="7"/>
    <n v="5000"/>
    <n v="35000"/>
    <n v="19936.27"/>
    <n v="15063.73"/>
    <x v="5"/>
  </r>
  <r>
    <x v="865"/>
    <x v="200"/>
    <x v="2"/>
    <x v="0"/>
    <x v="7"/>
    <n v="6"/>
    <n v="2500"/>
    <n v="15000"/>
    <n v="11063.4"/>
    <n v="3936.6"/>
    <x v="0"/>
  </r>
  <r>
    <x v="866"/>
    <x v="138"/>
    <x v="4"/>
    <x v="2"/>
    <x v="4"/>
    <n v="2"/>
    <n v="250"/>
    <n v="500"/>
    <n v="324.08"/>
    <n v="175.92"/>
    <x v="2"/>
  </r>
  <r>
    <x v="867"/>
    <x v="268"/>
    <x v="2"/>
    <x v="0"/>
    <x v="7"/>
    <n v="3"/>
    <n v="2500"/>
    <n v="7500"/>
    <n v="5714.93"/>
    <n v="1785.07"/>
    <x v="1"/>
  </r>
  <r>
    <x v="868"/>
    <x v="328"/>
    <x v="1"/>
    <x v="2"/>
    <x v="6"/>
    <n v="6"/>
    <n v="5000"/>
    <n v="30000"/>
    <n v="16832.099999999999"/>
    <n v="13167.9"/>
    <x v="2"/>
  </r>
  <r>
    <x v="869"/>
    <x v="191"/>
    <x v="2"/>
    <x v="1"/>
    <x v="3"/>
    <n v="8"/>
    <n v="12000"/>
    <n v="96000"/>
    <n v="84744.42"/>
    <n v="11255.58"/>
    <x v="3"/>
  </r>
  <r>
    <x v="870"/>
    <x v="329"/>
    <x v="1"/>
    <x v="1"/>
    <x v="2"/>
    <n v="6"/>
    <n v="12000"/>
    <n v="72000"/>
    <n v="40542.35"/>
    <n v="31457.65"/>
    <x v="2"/>
  </r>
  <r>
    <x v="871"/>
    <x v="82"/>
    <x v="3"/>
    <x v="0"/>
    <x v="0"/>
    <n v="8"/>
    <n v="2500"/>
    <n v="20000"/>
    <n v="12078.54"/>
    <n v="7921.46"/>
    <x v="0"/>
  </r>
  <r>
    <x v="872"/>
    <x v="306"/>
    <x v="2"/>
    <x v="0"/>
    <x v="8"/>
    <n v="6"/>
    <n v="250"/>
    <n v="1500"/>
    <n v="1228.98"/>
    <n v="271.02"/>
    <x v="0"/>
  </r>
  <r>
    <x v="873"/>
    <x v="276"/>
    <x v="1"/>
    <x v="1"/>
    <x v="2"/>
    <n v="1"/>
    <n v="1200"/>
    <n v="1200"/>
    <n v="822.79"/>
    <n v="377.21"/>
    <x v="1"/>
  </r>
  <r>
    <x v="874"/>
    <x v="28"/>
    <x v="1"/>
    <x v="2"/>
    <x v="5"/>
    <n v="10"/>
    <n v="12000"/>
    <n v="120000"/>
    <n v="69657.19"/>
    <n v="50342.81"/>
    <x v="1"/>
  </r>
  <r>
    <x v="875"/>
    <x v="280"/>
    <x v="0"/>
    <x v="0"/>
    <x v="7"/>
    <n v="5"/>
    <n v="150"/>
    <n v="750"/>
    <n v="564.11"/>
    <n v="185.89"/>
    <x v="3"/>
  </r>
  <r>
    <x v="876"/>
    <x v="255"/>
    <x v="1"/>
    <x v="1"/>
    <x v="2"/>
    <n v="5"/>
    <n v="500"/>
    <n v="2500"/>
    <n v="1840.74"/>
    <n v="659.26"/>
    <x v="3"/>
  </r>
  <r>
    <x v="877"/>
    <x v="146"/>
    <x v="2"/>
    <x v="1"/>
    <x v="2"/>
    <n v="5"/>
    <n v="150"/>
    <n v="750"/>
    <n v="416.5"/>
    <n v="333.5"/>
    <x v="5"/>
  </r>
  <r>
    <x v="878"/>
    <x v="330"/>
    <x v="0"/>
    <x v="1"/>
    <x v="2"/>
    <n v="9"/>
    <n v="500"/>
    <n v="4500"/>
    <n v="3340.25"/>
    <n v="1159.75"/>
    <x v="0"/>
  </r>
  <r>
    <x v="879"/>
    <x v="195"/>
    <x v="4"/>
    <x v="2"/>
    <x v="6"/>
    <n v="4"/>
    <n v="250"/>
    <n v="1000"/>
    <n v="574.94000000000005"/>
    <n v="425.06"/>
    <x v="5"/>
  </r>
  <r>
    <x v="880"/>
    <x v="331"/>
    <x v="1"/>
    <x v="2"/>
    <x v="5"/>
    <n v="3"/>
    <n v="150"/>
    <n v="450"/>
    <n v="321.64"/>
    <n v="128.36000000000001"/>
    <x v="1"/>
  </r>
  <r>
    <x v="881"/>
    <x v="207"/>
    <x v="2"/>
    <x v="2"/>
    <x v="5"/>
    <n v="2"/>
    <n v="1200"/>
    <n v="2400"/>
    <n v="1649.21"/>
    <n v="750.79"/>
    <x v="5"/>
  </r>
  <r>
    <x v="882"/>
    <x v="174"/>
    <x v="0"/>
    <x v="0"/>
    <x v="7"/>
    <n v="8"/>
    <n v="2500"/>
    <n v="20000"/>
    <n v="13489.37"/>
    <n v="6510.63"/>
    <x v="0"/>
  </r>
  <r>
    <x v="883"/>
    <x v="12"/>
    <x v="0"/>
    <x v="0"/>
    <x v="7"/>
    <n v="2"/>
    <n v="12000"/>
    <n v="24000"/>
    <n v="19621.2"/>
    <n v="4378.8"/>
    <x v="1"/>
  </r>
  <r>
    <x v="884"/>
    <x v="332"/>
    <x v="3"/>
    <x v="0"/>
    <x v="8"/>
    <n v="2"/>
    <n v="1200"/>
    <n v="2400"/>
    <n v="1580.73"/>
    <n v="819.27"/>
    <x v="2"/>
  </r>
  <r>
    <x v="885"/>
    <x v="86"/>
    <x v="4"/>
    <x v="1"/>
    <x v="2"/>
    <n v="3"/>
    <n v="12000"/>
    <n v="36000"/>
    <n v="31085.83"/>
    <n v="4914.17"/>
    <x v="2"/>
  </r>
  <r>
    <x v="886"/>
    <x v="198"/>
    <x v="3"/>
    <x v="1"/>
    <x v="1"/>
    <n v="6"/>
    <n v="12000"/>
    <n v="72000"/>
    <n v="61291.95"/>
    <n v="10708.05"/>
    <x v="2"/>
  </r>
  <r>
    <x v="887"/>
    <x v="10"/>
    <x v="0"/>
    <x v="1"/>
    <x v="2"/>
    <n v="8"/>
    <n v="150"/>
    <n v="1200"/>
    <n v="807.61"/>
    <n v="392.39"/>
    <x v="3"/>
  </r>
  <r>
    <x v="888"/>
    <x v="59"/>
    <x v="1"/>
    <x v="2"/>
    <x v="6"/>
    <n v="10"/>
    <n v="250"/>
    <n v="2500"/>
    <n v="1819.46"/>
    <n v="680.54"/>
    <x v="3"/>
  </r>
  <r>
    <x v="889"/>
    <x v="10"/>
    <x v="3"/>
    <x v="0"/>
    <x v="7"/>
    <n v="2"/>
    <n v="12000"/>
    <n v="24000"/>
    <n v="15737.79"/>
    <n v="8262.2099999999991"/>
    <x v="5"/>
  </r>
  <r>
    <x v="890"/>
    <x v="316"/>
    <x v="3"/>
    <x v="2"/>
    <x v="5"/>
    <n v="10"/>
    <n v="250"/>
    <n v="2500"/>
    <n v="1854.46"/>
    <n v="645.54"/>
    <x v="1"/>
  </r>
  <r>
    <x v="891"/>
    <x v="258"/>
    <x v="2"/>
    <x v="2"/>
    <x v="5"/>
    <n v="10"/>
    <n v="1200"/>
    <n v="12000"/>
    <n v="9894.1200000000008"/>
    <n v="2105.88"/>
    <x v="3"/>
  </r>
  <r>
    <x v="892"/>
    <x v="151"/>
    <x v="2"/>
    <x v="0"/>
    <x v="7"/>
    <n v="4"/>
    <n v="250"/>
    <n v="1000"/>
    <n v="781.91"/>
    <n v="218.09"/>
    <x v="2"/>
  </r>
  <r>
    <x v="893"/>
    <x v="319"/>
    <x v="3"/>
    <x v="1"/>
    <x v="1"/>
    <n v="10"/>
    <n v="1200"/>
    <n v="12000"/>
    <n v="7966.59"/>
    <n v="4033.41"/>
    <x v="4"/>
  </r>
  <r>
    <x v="894"/>
    <x v="134"/>
    <x v="3"/>
    <x v="2"/>
    <x v="4"/>
    <n v="2"/>
    <n v="2500"/>
    <n v="5000"/>
    <n v="2940.3"/>
    <n v="2059.6999999999998"/>
    <x v="3"/>
  </r>
  <r>
    <x v="895"/>
    <x v="205"/>
    <x v="2"/>
    <x v="2"/>
    <x v="6"/>
    <n v="1"/>
    <n v="150"/>
    <n v="150"/>
    <n v="93.92"/>
    <n v="56.08"/>
    <x v="0"/>
  </r>
  <r>
    <x v="896"/>
    <x v="304"/>
    <x v="2"/>
    <x v="1"/>
    <x v="2"/>
    <n v="3"/>
    <n v="1200"/>
    <n v="3600"/>
    <n v="2649.38"/>
    <n v="950.62"/>
    <x v="5"/>
  </r>
  <r>
    <x v="897"/>
    <x v="333"/>
    <x v="2"/>
    <x v="2"/>
    <x v="5"/>
    <n v="4"/>
    <n v="5000"/>
    <n v="20000"/>
    <n v="17141.98"/>
    <n v="2858.02"/>
    <x v="0"/>
  </r>
  <r>
    <x v="898"/>
    <x v="195"/>
    <x v="2"/>
    <x v="2"/>
    <x v="4"/>
    <n v="6"/>
    <n v="150"/>
    <n v="900"/>
    <n v="678.56"/>
    <n v="221.44"/>
    <x v="2"/>
  </r>
  <r>
    <x v="899"/>
    <x v="93"/>
    <x v="1"/>
    <x v="1"/>
    <x v="3"/>
    <n v="1"/>
    <n v="500"/>
    <n v="500"/>
    <n v="432.69"/>
    <n v="67.31"/>
    <x v="0"/>
  </r>
  <r>
    <x v="900"/>
    <x v="138"/>
    <x v="0"/>
    <x v="0"/>
    <x v="8"/>
    <n v="2"/>
    <n v="12000"/>
    <n v="24000"/>
    <n v="15570.56"/>
    <n v="8429.44"/>
    <x v="2"/>
  </r>
  <r>
    <x v="901"/>
    <x v="15"/>
    <x v="3"/>
    <x v="0"/>
    <x v="7"/>
    <n v="7"/>
    <n v="5000"/>
    <n v="35000"/>
    <n v="23147.06"/>
    <n v="11852.94"/>
    <x v="2"/>
  </r>
  <r>
    <x v="902"/>
    <x v="205"/>
    <x v="0"/>
    <x v="2"/>
    <x v="6"/>
    <n v="4"/>
    <n v="5000"/>
    <n v="20000"/>
    <n v="12213.87"/>
    <n v="7786.13"/>
    <x v="5"/>
  </r>
  <r>
    <x v="903"/>
    <x v="291"/>
    <x v="0"/>
    <x v="2"/>
    <x v="4"/>
    <n v="7"/>
    <n v="250"/>
    <n v="1750"/>
    <n v="1139.19"/>
    <n v="610.80999999999995"/>
    <x v="4"/>
  </r>
  <r>
    <x v="904"/>
    <x v="118"/>
    <x v="3"/>
    <x v="1"/>
    <x v="2"/>
    <n v="1"/>
    <n v="250"/>
    <n v="250"/>
    <n v="200.62"/>
    <n v="49.38"/>
    <x v="4"/>
  </r>
  <r>
    <x v="905"/>
    <x v="216"/>
    <x v="2"/>
    <x v="1"/>
    <x v="2"/>
    <n v="7"/>
    <n v="12000"/>
    <n v="84000"/>
    <n v="59607.24"/>
    <n v="24392.76"/>
    <x v="2"/>
  </r>
  <r>
    <x v="906"/>
    <x v="181"/>
    <x v="3"/>
    <x v="0"/>
    <x v="0"/>
    <n v="8"/>
    <n v="2500"/>
    <n v="20000"/>
    <n v="13968.87"/>
    <n v="6031.13"/>
    <x v="3"/>
  </r>
  <r>
    <x v="907"/>
    <x v="107"/>
    <x v="0"/>
    <x v="1"/>
    <x v="2"/>
    <n v="7"/>
    <n v="2500"/>
    <n v="17500"/>
    <n v="9670.51"/>
    <n v="7829.49"/>
    <x v="0"/>
  </r>
  <r>
    <x v="908"/>
    <x v="123"/>
    <x v="1"/>
    <x v="0"/>
    <x v="8"/>
    <n v="7"/>
    <n v="2500"/>
    <n v="17500"/>
    <n v="13155.16"/>
    <n v="4344.84"/>
    <x v="5"/>
  </r>
  <r>
    <x v="909"/>
    <x v="23"/>
    <x v="1"/>
    <x v="2"/>
    <x v="6"/>
    <n v="6"/>
    <n v="150"/>
    <n v="900"/>
    <n v="677.78"/>
    <n v="222.22"/>
    <x v="4"/>
  </r>
  <r>
    <x v="910"/>
    <x v="131"/>
    <x v="3"/>
    <x v="0"/>
    <x v="7"/>
    <n v="9"/>
    <n v="12000"/>
    <n v="108000"/>
    <n v="96582.66"/>
    <n v="11417.34"/>
    <x v="5"/>
  </r>
  <r>
    <x v="911"/>
    <x v="106"/>
    <x v="1"/>
    <x v="1"/>
    <x v="1"/>
    <n v="10"/>
    <n v="150"/>
    <n v="1500"/>
    <n v="953.75"/>
    <n v="546.25"/>
    <x v="0"/>
  </r>
  <r>
    <x v="912"/>
    <x v="199"/>
    <x v="2"/>
    <x v="0"/>
    <x v="7"/>
    <n v="10"/>
    <n v="500"/>
    <n v="5000"/>
    <n v="3822.82"/>
    <n v="1177.18"/>
    <x v="1"/>
  </r>
  <r>
    <x v="913"/>
    <x v="225"/>
    <x v="3"/>
    <x v="2"/>
    <x v="4"/>
    <n v="9"/>
    <n v="1200"/>
    <n v="10800"/>
    <n v="8109.59"/>
    <n v="2690.41"/>
    <x v="3"/>
  </r>
  <r>
    <x v="914"/>
    <x v="134"/>
    <x v="4"/>
    <x v="2"/>
    <x v="4"/>
    <n v="3"/>
    <n v="150"/>
    <n v="450"/>
    <n v="356.97"/>
    <n v="93.03"/>
    <x v="0"/>
  </r>
  <r>
    <x v="915"/>
    <x v="61"/>
    <x v="2"/>
    <x v="0"/>
    <x v="8"/>
    <n v="1"/>
    <n v="5000"/>
    <n v="5000"/>
    <n v="3578.03"/>
    <n v="1421.97"/>
    <x v="1"/>
  </r>
  <r>
    <x v="916"/>
    <x v="257"/>
    <x v="0"/>
    <x v="0"/>
    <x v="8"/>
    <n v="10"/>
    <n v="150"/>
    <n v="1500"/>
    <n v="975.58"/>
    <n v="524.41999999999996"/>
    <x v="5"/>
  </r>
  <r>
    <x v="917"/>
    <x v="214"/>
    <x v="4"/>
    <x v="1"/>
    <x v="3"/>
    <n v="5"/>
    <n v="250"/>
    <n v="1250"/>
    <n v="956.91"/>
    <n v="293.08999999999997"/>
    <x v="1"/>
  </r>
  <r>
    <x v="918"/>
    <x v="157"/>
    <x v="3"/>
    <x v="0"/>
    <x v="0"/>
    <n v="10"/>
    <n v="250"/>
    <n v="2500"/>
    <n v="2171.37"/>
    <n v="328.63"/>
    <x v="3"/>
  </r>
  <r>
    <x v="919"/>
    <x v="318"/>
    <x v="1"/>
    <x v="1"/>
    <x v="3"/>
    <n v="4"/>
    <n v="1200"/>
    <n v="4800"/>
    <n v="2943.76"/>
    <n v="1856.24"/>
    <x v="3"/>
  </r>
  <r>
    <x v="920"/>
    <x v="296"/>
    <x v="3"/>
    <x v="1"/>
    <x v="2"/>
    <n v="10"/>
    <n v="12000"/>
    <n v="120000"/>
    <n v="72474.31"/>
    <n v="47525.69"/>
    <x v="2"/>
  </r>
  <r>
    <x v="921"/>
    <x v="248"/>
    <x v="2"/>
    <x v="1"/>
    <x v="1"/>
    <n v="8"/>
    <n v="5000"/>
    <n v="40000"/>
    <n v="30926.05"/>
    <n v="9073.9500000000007"/>
    <x v="0"/>
  </r>
  <r>
    <x v="922"/>
    <x v="77"/>
    <x v="0"/>
    <x v="2"/>
    <x v="5"/>
    <n v="5"/>
    <n v="12000"/>
    <n v="60000"/>
    <n v="50210.15"/>
    <n v="9789.85"/>
    <x v="2"/>
  </r>
  <r>
    <x v="923"/>
    <x v="334"/>
    <x v="0"/>
    <x v="2"/>
    <x v="4"/>
    <n v="5"/>
    <n v="1200"/>
    <n v="6000"/>
    <n v="4866.92"/>
    <n v="1133.08"/>
    <x v="2"/>
  </r>
  <r>
    <x v="924"/>
    <x v="335"/>
    <x v="3"/>
    <x v="0"/>
    <x v="7"/>
    <n v="7"/>
    <n v="1200"/>
    <n v="8400"/>
    <n v="5392.12"/>
    <n v="3007.88"/>
    <x v="1"/>
  </r>
  <r>
    <x v="925"/>
    <x v="335"/>
    <x v="1"/>
    <x v="2"/>
    <x v="4"/>
    <n v="7"/>
    <n v="5000"/>
    <n v="35000"/>
    <n v="23117.19"/>
    <n v="11882.81"/>
    <x v="1"/>
  </r>
  <r>
    <x v="926"/>
    <x v="114"/>
    <x v="4"/>
    <x v="0"/>
    <x v="7"/>
    <n v="6"/>
    <n v="12000"/>
    <n v="72000"/>
    <n v="50481"/>
    <n v="21519"/>
    <x v="3"/>
  </r>
  <r>
    <x v="927"/>
    <x v="236"/>
    <x v="3"/>
    <x v="2"/>
    <x v="4"/>
    <n v="2"/>
    <n v="500"/>
    <n v="1000"/>
    <n v="779.02"/>
    <n v="220.98"/>
    <x v="0"/>
  </r>
  <r>
    <x v="928"/>
    <x v="4"/>
    <x v="0"/>
    <x v="0"/>
    <x v="0"/>
    <n v="10"/>
    <n v="12000"/>
    <n v="120000"/>
    <n v="74186.880000000005"/>
    <n v="45813.120000000003"/>
    <x v="3"/>
  </r>
  <r>
    <x v="929"/>
    <x v="113"/>
    <x v="1"/>
    <x v="0"/>
    <x v="0"/>
    <n v="1"/>
    <n v="12000"/>
    <n v="12000"/>
    <n v="6885.4"/>
    <n v="5114.6000000000004"/>
    <x v="5"/>
  </r>
  <r>
    <x v="930"/>
    <x v="252"/>
    <x v="4"/>
    <x v="1"/>
    <x v="1"/>
    <n v="8"/>
    <n v="500"/>
    <n v="4000"/>
    <n v="2507.1799999999998"/>
    <n v="1492.82"/>
    <x v="4"/>
  </r>
  <r>
    <x v="931"/>
    <x v="256"/>
    <x v="0"/>
    <x v="1"/>
    <x v="2"/>
    <n v="10"/>
    <n v="150"/>
    <n v="1500"/>
    <n v="854.86"/>
    <n v="645.14"/>
    <x v="5"/>
  </r>
  <r>
    <x v="932"/>
    <x v="336"/>
    <x v="3"/>
    <x v="0"/>
    <x v="0"/>
    <n v="2"/>
    <n v="150"/>
    <n v="300"/>
    <n v="254.93"/>
    <n v="45.07"/>
    <x v="0"/>
  </r>
  <r>
    <x v="933"/>
    <x v="95"/>
    <x v="4"/>
    <x v="0"/>
    <x v="7"/>
    <n v="3"/>
    <n v="150"/>
    <n v="450"/>
    <n v="357.07"/>
    <n v="92.93"/>
    <x v="2"/>
  </r>
  <r>
    <x v="934"/>
    <x v="226"/>
    <x v="4"/>
    <x v="0"/>
    <x v="0"/>
    <n v="8"/>
    <n v="500"/>
    <n v="4000"/>
    <n v="3277.1"/>
    <n v="722.9"/>
    <x v="3"/>
  </r>
  <r>
    <x v="935"/>
    <x v="231"/>
    <x v="4"/>
    <x v="1"/>
    <x v="2"/>
    <n v="5"/>
    <n v="12000"/>
    <n v="60000"/>
    <n v="34310.129999999997"/>
    <n v="25689.87"/>
    <x v="1"/>
  </r>
  <r>
    <x v="936"/>
    <x v="281"/>
    <x v="2"/>
    <x v="2"/>
    <x v="4"/>
    <n v="3"/>
    <n v="1200"/>
    <n v="3600"/>
    <n v="2067.44"/>
    <n v="1532.56"/>
    <x v="2"/>
  </r>
  <r>
    <x v="937"/>
    <x v="150"/>
    <x v="0"/>
    <x v="1"/>
    <x v="1"/>
    <n v="8"/>
    <n v="150"/>
    <n v="1200"/>
    <n v="720.43"/>
    <n v="479.57"/>
    <x v="5"/>
  </r>
  <r>
    <x v="938"/>
    <x v="123"/>
    <x v="1"/>
    <x v="0"/>
    <x v="0"/>
    <n v="8"/>
    <n v="5000"/>
    <n v="40000"/>
    <n v="25625.95"/>
    <n v="14374.05"/>
    <x v="1"/>
  </r>
  <r>
    <x v="939"/>
    <x v="177"/>
    <x v="0"/>
    <x v="0"/>
    <x v="7"/>
    <n v="5"/>
    <n v="12000"/>
    <n v="60000"/>
    <n v="42363.519999999997"/>
    <n v="17636.48"/>
    <x v="0"/>
  </r>
  <r>
    <x v="940"/>
    <x v="157"/>
    <x v="4"/>
    <x v="0"/>
    <x v="0"/>
    <n v="1"/>
    <n v="5000"/>
    <n v="5000"/>
    <n v="3433.35"/>
    <n v="1566.65"/>
    <x v="2"/>
  </r>
  <r>
    <x v="941"/>
    <x v="337"/>
    <x v="3"/>
    <x v="0"/>
    <x v="0"/>
    <n v="9"/>
    <n v="5000"/>
    <n v="45000"/>
    <n v="39553.599999999999"/>
    <n v="5446.4"/>
    <x v="2"/>
  </r>
  <r>
    <x v="942"/>
    <x v="64"/>
    <x v="3"/>
    <x v="2"/>
    <x v="6"/>
    <n v="2"/>
    <n v="2500"/>
    <n v="5000"/>
    <n v="3145.23"/>
    <n v="1854.77"/>
    <x v="1"/>
  </r>
  <r>
    <x v="943"/>
    <x v="103"/>
    <x v="1"/>
    <x v="0"/>
    <x v="7"/>
    <n v="6"/>
    <n v="500"/>
    <n v="3000"/>
    <n v="2365.9299999999998"/>
    <n v="634.07000000000005"/>
    <x v="0"/>
  </r>
  <r>
    <x v="944"/>
    <x v="82"/>
    <x v="1"/>
    <x v="0"/>
    <x v="0"/>
    <n v="6"/>
    <n v="2500"/>
    <n v="15000"/>
    <n v="12730.05"/>
    <n v="2269.9499999999998"/>
    <x v="2"/>
  </r>
  <r>
    <x v="945"/>
    <x v="64"/>
    <x v="0"/>
    <x v="2"/>
    <x v="6"/>
    <n v="4"/>
    <n v="250"/>
    <n v="1000"/>
    <n v="744.07"/>
    <n v="255.93"/>
    <x v="3"/>
  </r>
  <r>
    <x v="946"/>
    <x v="118"/>
    <x v="1"/>
    <x v="0"/>
    <x v="8"/>
    <n v="2"/>
    <n v="5000"/>
    <n v="10000"/>
    <n v="7910.95"/>
    <n v="2089.0500000000002"/>
    <x v="0"/>
  </r>
  <r>
    <x v="947"/>
    <x v="237"/>
    <x v="2"/>
    <x v="2"/>
    <x v="6"/>
    <n v="4"/>
    <n v="250"/>
    <n v="1000"/>
    <n v="562.49"/>
    <n v="437.51"/>
    <x v="4"/>
  </r>
  <r>
    <x v="948"/>
    <x v="47"/>
    <x v="3"/>
    <x v="2"/>
    <x v="4"/>
    <n v="2"/>
    <n v="12000"/>
    <n v="24000"/>
    <n v="17740.64"/>
    <n v="6259.36"/>
    <x v="5"/>
  </r>
  <r>
    <x v="949"/>
    <x v="156"/>
    <x v="3"/>
    <x v="2"/>
    <x v="5"/>
    <n v="1"/>
    <n v="500"/>
    <n v="500"/>
    <n v="284.81"/>
    <n v="215.19"/>
    <x v="1"/>
  </r>
  <r>
    <x v="950"/>
    <x v="54"/>
    <x v="0"/>
    <x v="1"/>
    <x v="1"/>
    <n v="9"/>
    <n v="1200"/>
    <n v="10800"/>
    <n v="9493.5400000000009"/>
    <n v="1306.46"/>
    <x v="0"/>
  </r>
  <r>
    <x v="951"/>
    <x v="243"/>
    <x v="1"/>
    <x v="0"/>
    <x v="0"/>
    <n v="2"/>
    <n v="150"/>
    <n v="300"/>
    <n v="242.22"/>
    <n v="57.78"/>
    <x v="2"/>
  </r>
  <r>
    <x v="952"/>
    <x v="287"/>
    <x v="0"/>
    <x v="0"/>
    <x v="0"/>
    <n v="4"/>
    <n v="5000"/>
    <n v="20000"/>
    <n v="15541.5"/>
    <n v="4458.5"/>
    <x v="0"/>
  </r>
  <r>
    <x v="953"/>
    <x v="338"/>
    <x v="1"/>
    <x v="1"/>
    <x v="3"/>
    <n v="2"/>
    <n v="1200"/>
    <n v="2400"/>
    <n v="1833.43"/>
    <n v="566.57000000000005"/>
    <x v="1"/>
  </r>
  <r>
    <x v="954"/>
    <x v="136"/>
    <x v="0"/>
    <x v="1"/>
    <x v="3"/>
    <n v="10"/>
    <n v="12000"/>
    <n v="120000"/>
    <n v="91856.4"/>
    <n v="28143.599999999999"/>
    <x v="2"/>
  </r>
  <r>
    <x v="955"/>
    <x v="175"/>
    <x v="2"/>
    <x v="2"/>
    <x v="6"/>
    <n v="7"/>
    <n v="500"/>
    <n v="3500"/>
    <n v="2072.98"/>
    <n v="1427.02"/>
    <x v="5"/>
  </r>
  <r>
    <x v="956"/>
    <x v="339"/>
    <x v="4"/>
    <x v="1"/>
    <x v="3"/>
    <n v="4"/>
    <n v="12000"/>
    <n v="48000"/>
    <n v="27165.85"/>
    <n v="20834.150000000001"/>
    <x v="1"/>
  </r>
  <r>
    <x v="957"/>
    <x v="216"/>
    <x v="4"/>
    <x v="1"/>
    <x v="3"/>
    <n v="3"/>
    <n v="12000"/>
    <n v="36000"/>
    <n v="25030.94"/>
    <n v="10969.06"/>
    <x v="5"/>
  </r>
  <r>
    <x v="958"/>
    <x v="115"/>
    <x v="2"/>
    <x v="1"/>
    <x v="3"/>
    <n v="4"/>
    <n v="2500"/>
    <n v="10000"/>
    <n v="5642.45"/>
    <n v="4357.55"/>
    <x v="2"/>
  </r>
  <r>
    <x v="959"/>
    <x v="92"/>
    <x v="1"/>
    <x v="1"/>
    <x v="2"/>
    <n v="8"/>
    <n v="150"/>
    <n v="1200"/>
    <n v="662.67"/>
    <n v="537.33000000000004"/>
    <x v="0"/>
  </r>
  <r>
    <x v="960"/>
    <x v="63"/>
    <x v="0"/>
    <x v="0"/>
    <x v="7"/>
    <n v="5"/>
    <n v="1200"/>
    <n v="6000"/>
    <n v="4756.3599999999997"/>
    <n v="1243.6400000000001"/>
    <x v="4"/>
  </r>
  <r>
    <x v="961"/>
    <x v="39"/>
    <x v="0"/>
    <x v="1"/>
    <x v="1"/>
    <n v="5"/>
    <n v="2500"/>
    <n v="12500"/>
    <n v="8845.58"/>
    <n v="3654.42"/>
    <x v="5"/>
  </r>
  <r>
    <x v="962"/>
    <x v="195"/>
    <x v="1"/>
    <x v="0"/>
    <x v="0"/>
    <n v="10"/>
    <n v="250"/>
    <n v="2500"/>
    <n v="2002.55"/>
    <n v="497.45"/>
    <x v="0"/>
  </r>
  <r>
    <x v="963"/>
    <x v="277"/>
    <x v="1"/>
    <x v="2"/>
    <x v="4"/>
    <n v="7"/>
    <n v="150"/>
    <n v="1050"/>
    <n v="782.46"/>
    <n v="267.54000000000002"/>
    <x v="5"/>
  </r>
  <r>
    <x v="964"/>
    <x v="26"/>
    <x v="2"/>
    <x v="1"/>
    <x v="1"/>
    <n v="6"/>
    <n v="12000"/>
    <n v="72000"/>
    <n v="58780.43"/>
    <n v="13219.57"/>
    <x v="4"/>
  </r>
  <r>
    <x v="965"/>
    <x v="20"/>
    <x v="0"/>
    <x v="2"/>
    <x v="6"/>
    <n v="4"/>
    <n v="500"/>
    <n v="2000"/>
    <n v="1137.1500000000001"/>
    <n v="862.85"/>
    <x v="0"/>
  </r>
  <r>
    <x v="966"/>
    <x v="239"/>
    <x v="1"/>
    <x v="2"/>
    <x v="4"/>
    <n v="3"/>
    <n v="250"/>
    <n v="750"/>
    <n v="588.41"/>
    <n v="161.59"/>
    <x v="0"/>
  </r>
  <r>
    <x v="967"/>
    <x v="220"/>
    <x v="3"/>
    <x v="2"/>
    <x v="4"/>
    <n v="4"/>
    <n v="1200"/>
    <n v="4800"/>
    <n v="3062.32"/>
    <n v="1737.68"/>
    <x v="1"/>
  </r>
  <r>
    <x v="968"/>
    <x v="340"/>
    <x v="3"/>
    <x v="1"/>
    <x v="1"/>
    <n v="1"/>
    <n v="2500"/>
    <n v="2500"/>
    <n v="1528.9"/>
    <n v="971.1"/>
    <x v="5"/>
  </r>
  <r>
    <x v="969"/>
    <x v="308"/>
    <x v="4"/>
    <x v="1"/>
    <x v="2"/>
    <n v="4"/>
    <n v="5000"/>
    <n v="20000"/>
    <n v="14113.75"/>
    <n v="5886.25"/>
    <x v="2"/>
  </r>
  <r>
    <x v="970"/>
    <x v="198"/>
    <x v="0"/>
    <x v="1"/>
    <x v="1"/>
    <n v="6"/>
    <n v="250"/>
    <n v="1500"/>
    <n v="1233.96"/>
    <n v="266.04000000000002"/>
    <x v="1"/>
  </r>
  <r>
    <x v="971"/>
    <x v="246"/>
    <x v="1"/>
    <x v="1"/>
    <x v="1"/>
    <n v="7"/>
    <n v="12000"/>
    <n v="84000"/>
    <n v="52078.7"/>
    <n v="31921.3"/>
    <x v="2"/>
  </r>
  <r>
    <x v="972"/>
    <x v="326"/>
    <x v="3"/>
    <x v="0"/>
    <x v="8"/>
    <n v="1"/>
    <n v="1200"/>
    <n v="1200"/>
    <n v="720.88"/>
    <n v="479.12"/>
    <x v="4"/>
  </r>
  <r>
    <x v="973"/>
    <x v="159"/>
    <x v="4"/>
    <x v="2"/>
    <x v="4"/>
    <n v="3"/>
    <n v="1200"/>
    <n v="3600"/>
    <n v="2886.97"/>
    <n v="713.03"/>
    <x v="3"/>
  </r>
  <r>
    <x v="974"/>
    <x v="32"/>
    <x v="4"/>
    <x v="1"/>
    <x v="3"/>
    <n v="3"/>
    <n v="150"/>
    <n v="450"/>
    <n v="356.52"/>
    <n v="93.48"/>
    <x v="4"/>
  </r>
  <r>
    <x v="975"/>
    <x v="199"/>
    <x v="0"/>
    <x v="1"/>
    <x v="3"/>
    <n v="8"/>
    <n v="1200"/>
    <n v="9600"/>
    <n v="5855.24"/>
    <n v="3744.76"/>
    <x v="3"/>
  </r>
  <r>
    <x v="976"/>
    <x v="42"/>
    <x v="0"/>
    <x v="0"/>
    <x v="0"/>
    <n v="10"/>
    <n v="250"/>
    <n v="2500"/>
    <n v="1880.86"/>
    <n v="619.14"/>
    <x v="1"/>
  </r>
  <r>
    <x v="977"/>
    <x v="338"/>
    <x v="3"/>
    <x v="2"/>
    <x v="6"/>
    <n v="8"/>
    <n v="12000"/>
    <n v="96000"/>
    <n v="86254.32"/>
    <n v="9745.68"/>
    <x v="2"/>
  </r>
  <r>
    <x v="978"/>
    <x v="78"/>
    <x v="4"/>
    <x v="2"/>
    <x v="5"/>
    <n v="7"/>
    <n v="5000"/>
    <n v="35000"/>
    <n v="29939.33"/>
    <n v="5060.67"/>
    <x v="2"/>
  </r>
  <r>
    <x v="979"/>
    <x v="242"/>
    <x v="3"/>
    <x v="0"/>
    <x v="0"/>
    <n v="10"/>
    <n v="250"/>
    <n v="2500"/>
    <n v="2174.54"/>
    <n v="325.45999999999998"/>
    <x v="1"/>
  </r>
  <r>
    <x v="980"/>
    <x v="194"/>
    <x v="3"/>
    <x v="1"/>
    <x v="3"/>
    <n v="9"/>
    <n v="150"/>
    <n v="1350"/>
    <n v="943.64"/>
    <n v="406.36"/>
    <x v="0"/>
  </r>
  <r>
    <x v="981"/>
    <x v="221"/>
    <x v="3"/>
    <x v="1"/>
    <x v="3"/>
    <n v="8"/>
    <n v="250"/>
    <n v="2000"/>
    <n v="1158.1600000000001"/>
    <n v="841.84"/>
    <x v="4"/>
  </r>
  <r>
    <x v="982"/>
    <x v="155"/>
    <x v="1"/>
    <x v="1"/>
    <x v="3"/>
    <n v="5"/>
    <n v="250"/>
    <n v="1250"/>
    <n v="970.84"/>
    <n v="279.16000000000003"/>
    <x v="2"/>
  </r>
  <r>
    <x v="983"/>
    <x v="275"/>
    <x v="2"/>
    <x v="0"/>
    <x v="8"/>
    <n v="3"/>
    <n v="5000"/>
    <n v="15000"/>
    <n v="10661.23"/>
    <n v="4338.7700000000004"/>
    <x v="1"/>
  </r>
  <r>
    <x v="984"/>
    <x v="341"/>
    <x v="4"/>
    <x v="2"/>
    <x v="4"/>
    <n v="3"/>
    <n v="12000"/>
    <n v="36000"/>
    <n v="28659.5"/>
    <n v="7340.5"/>
    <x v="0"/>
  </r>
  <r>
    <x v="985"/>
    <x v="342"/>
    <x v="4"/>
    <x v="2"/>
    <x v="6"/>
    <n v="1"/>
    <n v="12000"/>
    <n v="12000"/>
    <n v="9234.68"/>
    <n v="2765.32"/>
    <x v="5"/>
  </r>
  <r>
    <x v="986"/>
    <x v="195"/>
    <x v="2"/>
    <x v="1"/>
    <x v="3"/>
    <n v="7"/>
    <n v="12000"/>
    <n v="84000"/>
    <n v="54131.81"/>
    <n v="29868.19"/>
    <x v="5"/>
  </r>
  <r>
    <x v="987"/>
    <x v="11"/>
    <x v="2"/>
    <x v="1"/>
    <x v="1"/>
    <n v="2"/>
    <n v="2500"/>
    <n v="5000"/>
    <n v="4291.4799999999996"/>
    <n v="708.52"/>
    <x v="0"/>
  </r>
  <r>
    <x v="988"/>
    <x v="343"/>
    <x v="1"/>
    <x v="2"/>
    <x v="5"/>
    <n v="2"/>
    <n v="1200"/>
    <n v="2400"/>
    <n v="1627.1"/>
    <n v="772.9"/>
    <x v="3"/>
  </r>
  <r>
    <x v="989"/>
    <x v="245"/>
    <x v="0"/>
    <x v="2"/>
    <x v="5"/>
    <n v="9"/>
    <n v="5000"/>
    <n v="45000"/>
    <n v="25805.34"/>
    <n v="19194.66"/>
    <x v="4"/>
  </r>
  <r>
    <x v="990"/>
    <x v="344"/>
    <x v="0"/>
    <x v="2"/>
    <x v="5"/>
    <n v="9"/>
    <n v="150"/>
    <n v="1350"/>
    <n v="1049.17"/>
    <n v="300.83"/>
    <x v="0"/>
  </r>
  <r>
    <x v="991"/>
    <x v="143"/>
    <x v="4"/>
    <x v="1"/>
    <x v="3"/>
    <n v="6"/>
    <n v="500"/>
    <n v="3000"/>
    <n v="2178.7399999999998"/>
    <n v="821.26"/>
    <x v="1"/>
  </r>
  <r>
    <x v="992"/>
    <x v="162"/>
    <x v="1"/>
    <x v="1"/>
    <x v="3"/>
    <n v="6"/>
    <n v="1200"/>
    <n v="7200"/>
    <n v="5185.29"/>
    <n v="2014.71"/>
    <x v="2"/>
  </r>
  <r>
    <x v="993"/>
    <x v="145"/>
    <x v="1"/>
    <x v="0"/>
    <x v="7"/>
    <n v="9"/>
    <n v="500"/>
    <n v="4500"/>
    <n v="3186.87"/>
    <n v="1313.13"/>
    <x v="4"/>
  </r>
  <r>
    <x v="994"/>
    <x v="119"/>
    <x v="1"/>
    <x v="2"/>
    <x v="5"/>
    <n v="2"/>
    <n v="1200"/>
    <n v="2400"/>
    <n v="2074.27"/>
    <n v="325.73"/>
    <x v="1"/>
  </r>
  <r>
    <x v="995"/>
    <x v="157"/>
    <x v="0"/>
    <x v="1"/>
    <x v="3"/>
    <n v="2"/>
    <n v="5000"/>
    <n v="10000"/>
    <n v="6017.84"/>
    <n v="3982.16"/>
    <x v="5"/>
  </r>
  <r>
    <x v="996"/>
    <x v="210"/>
    <x v="0"/>
    <x v="0"/>
    <x v="0"/>
    <n v="5"/>
    <n v="1200"/>
    <n v="6000"/>
    <n v="5336.11"/>
    <n v="663.89"/>
    <x v="2"/>
  </r>
  <r>
    <x v="997"/>
    <x v="263"/>
    <x v="0"/>
    <x v="2"/>
    <x v="4"/>
    <n v="8"/>
    <n v="5000"/>
    <n v="40000"/>
    <n v="31025.58"/>
    <n v="8974.42"/>
    <x v="1"/>
  </r>
  <r>
    <x v="998"/>
    <x v="308"/>
    <x v="4"/>
    <x v="1"/>
    <x v="2"/>
    <n v="9"/>
    <n v="5000"/>
    <n v="45000"/>
    <n v="30040.07"/>
    <n v="14959.93"/>
    <x v="0"/>
  </r>
  <r>
    <x v="999"/>
    <x v="335"/>
    <x v="2"/>
    <x v="0"/>
    <x v="8"/>
    <n v="8"/>
    <n v="2500"/>
    <n v="20000"/>
    <n v="15660.99"/>
    <n v="4339.0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I11" firstHeaderRow="1" firstDataRow="3" firstDataCol="1"/>
  <pivotFields count="11">
    <pivotField showAll="0"/>
    <pivotField numFmtId="164" showAll="0"/>
    <pivotField axis="axisRow" showAll="0">
      <items count="6">
        <item x="2"/>
        <item x="4"/>
        <item x="0"/>
        <item x="1"/>
        <item x="3"/>
        <item t="default"/>
      </items>
    </pivotField>
    <pivotField axis="axisCol" showAll="0">
      <items count="4">
        <item x="1"/>
        <item x="2"/>
        <item x="0"/>
        <item t="default"/>
      </items>
    </pivotField>
    <pivotField showAll="0">
      <items count="10">
        <item x="6"/>
        <item x="4"/>
        <item x="5"/>
        <item x="1"/>
        <item x="2"/>
        <item x="7"/>
        <item x="0"/>
        <item x="8"/>
        <item x="3"/>
        <item t="default"/>
      </items>
    </pivotField>
    <pivotField showAll="0"/>
    <pivotField showAll="0"/>
    <pivotField showAll="0"/>
    <pivotField dataField="1" showAll="0"/>
    <pivotField dataField="1" showAll="0"/>
    <pivotField showAll="0"/>
  </pivotFields>
  <rowFields count="1">
    <field x="2"/>
  </rowFields>
  <rowItems count="6">
    <i>
      <x/>
    </i>
    <i>
      <x v="1"/>
    </i>
    <i>
      <x v="2"/>
    </i>
    <i>
      <x v="3"/>
    </i>
    <i>
      <x v="4"/>
    </i>
    <i t="grand">
      <x/>
    </i>
  </rowItems>
  <colFields count="2">
    <field x="-2"/>
    <field x="3"/>
  </colFields>
  <colItems count="8">
    <i>
      <x/>
      <x/>
    </i>
    <i r="1">
      <x v="1"/>
    </i>
    <i r="1">
      <x v="2"/>
    </i>
    <i i="1">
      <x v="1"/>
      <x/>
    </i>
    <i r="1" i="1">
      <x v="1"/>
    </i>
    <i r="1" i="1">
      <x v="2"/>
    </i>
    <i t="grand">
      <x/>
    </i>
    <i t="grand" i="1">
      <x/>
    </i>
  </colItems>
  <dataFields count="2">
    <dataField name="Sum of Cost" fld="8"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5AA2B4-4407-4CDB-A612-1573D83AE0A5}"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9" firstHeaderRow="1" firstDataRow="1" firstDataCol="1"/>
  <pivotFields count="12">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2"/>
        <item x="4"/>
        <item x="0"/>
        <item x="1"/>
        <item x="3"/>
        <item t="default"/>
      </items>
    </pivotField>
    <pivotField showAll="0">
      <items count="4">
        <item x="1"/>
        <item x="2"/>
        <item x="0"/>
        <item t="default"/>
      </items>
    </pivotField>
    <pivotField showAll="0"/>
    <pivotField showAll="0"/>
    <pivotField showAll="0"/>
    <pivotField dataField="1" showAll="0"/>
    <pivotField showAll="0"/>
    <pivotField showAll="0"/>
    <pivotField showAll="0">
      <items count="7">
        <item x="1"/>
        <item x="4"/>
        <item x="3"/>
        <item x="2"/>
        <item x="5"/>
        <item x="0"/>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Sales" fld="7"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A22C5B-7E9C-4522-8F5D-EC71E91012C5}"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9" firstHeaderRow="1" firstDataRow="1" firstDataCol="1"/>
  <pivotFields count="12">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2"/>
        <item x="4"/>
        <item x="0"/>
        <item x="1"/>
        <item x="3"/>
        <item t="default"/>
      </items>
    </pivotField>
    <pivotField showAll="0">
      <items count="4">
        <item x="1"/>
        <item x="2"/>
        <item x="0"/>
        <item t="default"/>
      </items>
    </pivotField>
    <pivotField showAll="0"/>
    <pivotField showAll="0"/>
    <pivotField showAll="0"/>
    <pivotField showAll="0"/>
    <pivotField showAll="0"/>
    <pivotField dataField="1" showAll="0"/>
    <pivotField showAll="0">
      <items count="7">
        <item x="1"/>
        <item x="4"/>
        <item x="3"/>
        <item x="2"/>
        <item x="5"/>
        <item x="0"/>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Profit" fld="9" baseField="0" baseItem="0"/>
  </dataFields>
  <chartFormats count="2">
    <chartFormat chart="13"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68DC80-C1C5-4239-9189-B44C2A14F29C}"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B7" firstHeaderRow="1" firstDataRow="1" firstDataCol="1"/>
  <pivotFields count="12">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4">
        <item x="1"/>
        <item x="2"/>
        <item x="0"/>
        <item t="default"/>
      </items>
    </pivotField>
    <pivotField showAll="0"/>
    <pivotField showAll="0"/>
    <pivotField showAll="0"/>
    <pivotField dataField="1" showAll="0"/>
    <pivotField showAll="0"/>
    <pivotField showAll="0"/>
    <pivotField showAll="0">
      <items count="7">
        <item x="1"/>
        <item x="4"/>
        <item x="3"/>
        <item x="2"/>
        <item x="5"/>
        <item x="0"/>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Sales" fld="7" baseField="0" baseItem="0"/>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1"/>
          </reference>
        </references>
      </pivotArea>
    </chartFormat>
    <chartFormat chart="9" format="2">
      <pivotArea type="data" outline="0" fieldPosition="0">
        <references count="2">
          <reference field="4294967294" count="1" selected="0">
            <x v="0"/>
          </reference>
          <reference field="3" count="1" selected="0">
            <x v="0"/>
          </reference>
        </references>
      </pivotArea>
    </chartFormat>
    <chartFormat chart="9" format="3">
      <pivotArea type="data" outline="0" fieldPosition="0">
        <references count="2">
          <reference field="4294967294" count="1" selected="0">
            <x v="0"/>
          </reference>
          <reference field="3"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3" count="1" selected="0">
            <x v="0"/>
          </reference>
        </references>
      </pivotArea>
    </chartFormat>
    <chartFormat chart="13" format="10">
      <pivotArea type="data" outline="0" fieldPosition="0">
        <references count="2">
          <reference field="4294967294" count="1" selected="0">
            <x v="0"/>
          </reference>
          <reference field="3" count="1" selected="0">
            <x v="1"/>
          </reference>
        </references>
      </pivotArea>
    </chartFormat>
    <chartFormat chart="13"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80AAC2-F498-438D-8F01-F05A8108D841}"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pivotFields count="12">
    <pivotField showAll="0"/>
    <pivotField numFmtId="164" showAll="0"/>
    <pivotField showAll="0">
      <items count="6">
        <item x="2"/>
        <item x="4"/>
        <item x="0"/>
        <item x="1"/>
        <item x="3"/>
        <item t="default"/>
      </items>
    </pivotField>
    <pivotField axis="axisRow" showAll="0">
      <items count="4">
        <item x="1"/>
        <item x="2"/>
        <item x="0"/>
        <item t="default"/>
      </items>
    </pivotField>
    <pivotField showAll="0"/>
    <pivotField showAll="0"/>
    <pivotField showAll="0"/>
    <pivotField showAll="0"/>
    <pivotField showAll="0"/>
    <pivotField dataField="1" showAll="0"/>
    <pivotField showAll="0"/>
    <pivotField showAll="0" defaultSubtotal="0"/>
  </pivotFields>
  <rowFields count="1">
    <field x="3"/>
  </rowFields>
  <rowItems count="4">
    <i>
      <x/>
    </i>
    <i>
      <x v="1"/>
    </i>
    <i>
      <x v="2"/>
    </i>
    <i t="grand">
      <x/>
    </i>
  </rowItems>
  <colItems count="1">
    <i/>
  </colItems>
  <dataFields count="1">
    <dataField name="Sum of Profi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12AD57-EBE4-4CD6-A081-C63308B00FC0}"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3" firstHeaderRow="1" firstDataRow="1" firstDataCol="1"/>
  <pivotFields count="12">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1"/>
        <item x="2"/>
        <item x="0"/>
        <item t="default"/>
      </items>
    </pivotField>
    <pivotField axis="axisRow" showAll="0">
      <items count="10">
        <item x="6"/>
        <item x="4"/>
        <item x="5"/>
        <item x="1"/>
        <item x="2"/>
        <item x="7"/>
        <item x="0"/>
        <item x="8"/>
        <item x="3"/>
        <item t="default"/>
      </items>
    </pivotField>
    <pivotField showAll="0"/>
    <pivotField showAll="0"/>
    <pivotField dataField="1" showAll="0"/>
    <pivotField showAll="0"/>
    <pivotField showAll="0"/>
    <pivotField showAll="0">
      <items count="7">
        <item x="1"/>
        <item x="4"/>
        <item x="3"/>
        <item x="2"/>
        <item x="5"/>
        <item x="0"/>
        <item t="default"/>
      </items>
    </pivotField>
    <pivotField showAll="0">
      <items count="15">
        <item x="0"/>
        <item x="1"/>
        <item x="2"/>
        <item x="3"/>
        <item x="4"/>
        <item x="5"/>
        <item x="6"/>
        <item x="7"/>
        <item x="8"/>
        <item x="9"/>
        <item x="10"/>
        <item x="11"/>
        <item x="12"/>
        <item x="13"/>
        <item t="default"/>
      </items>
    </pivotField>
  </pivotFields>
  <rowFields count="1">
    <field x="4"/>
  </rowFields>
  <rowItems count="10">
    <i>
      <x/>
    </i>
    <i>
      <x v="1"/>
    </i>
    <i>
      <x v="2"/>
    </i>
    <i>
      <x v="3"/>
    </i>
    <i>
      <x v="4"/>
    </i>
    <i>
      <x v="5"/>
    </i>
    <i>
      <x v="6"/>
    </i>
    <i>
      <x v="7"/>
    </i>
    <i>
      <x v="8"/>
    </i>
    <i t="grand">
      <x/>
    </i>
  </rowItems>
  <colItems count="1">
    <i/>
  </colItems>
  <dataFields count="1">
    <dataField name="Sum of Sales"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09ED60-5CBB-436F-8417-8E7E89BC735D}"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2">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1"/>
        <item x="2"/>
        <item x="0"/>
        <item t="default"/>
      </items>
    </pivotField>
    <pivotField showAll="0"/>
    <pivotField showAll="0"/>
    <pivotField showAll="0"/>
    <pivotField dataField="1" showAll="0"/>
    <pivotField showAll="0"/>
    <pivotField showAll="0"/>
    <pivotField axis="axisRow" showAll="0">
      <items count="7">
        <item x="1"/>
        <item x="4"/>
        <item x="3"/>
        <item x="2"/>
        <item x="5"/>
        <item x="0"/>
        <item t="default"/>
      </items>
    </pivotField>
    <pivotField showAll="0">
      <items count="15">
        <item x="0"/>
        <item x="1"/>
        <item x="2"/>
        <item x="3"/>
        <item x="4"/>
        <item x="5"/>
        <item x="6"/>
        <item x="7"/>
        <item x="8"/>
        <item x="9"/>
        <item x="10"/>
        <item x="11"/>
        <item x="12"/>
        <item x="13"/>
        <item t="default"/>
      </items>
    </pivotField>
  </pivotFields>
  <rowFields count="1">
    <field x="10"/>
  </rowFields>
  <rowItems count="7">
    <i>
      <x/>
    </i>
    <i>
      <x v="1"/>
    </i>
    <i>
      <x v="2"/>
    </i>
    <i>
      <x v="3"/>
    </i>
    <i>
      <x v="4"/>
    </i>
    <i>
      <x v="5"/>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B2ADF8-4F65-4F08-A92A-59D28D4F2750}"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16" firstHeaderRow="1" firstDataRow="1" firstDataCol="1"/>
  <pivotFields count="12">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h="1" x="2"/>
        <item h="1" x="4"/>
        <item h="1" x="0"/>
        <item x="1"/>
        <item h="1" x="3"/>
        <item t="default"/>
      </items>
    </pivotField>
    <pivotField showAll="0">
      <items count="4">
        <item x="1"/>
        <item x="2"/>
        <item x="0"/>
        <item t="default"/>
      </items>
    </pivotField>
    <pivotField showAll="0"/>
    <pivotField showAll="0"/>
    <pivotField showAll="0"/>
    <pivotField dataField="1" showAll="0"/>
    <pivotField showAll="0"/>
    <pivotField showAll="0"/>
    <pivotField showAll="0">
      <items count="7">
        <item x="1"/>
        <item x="4"/>
        <item x="3"/>
        <item x="2"/>
        <item x="5"/>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1"/>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0D54DB-7703-4C69-8DBE-80F9C56BC507}" sourceName="Region">
  <pivotTables>
    <pivotTable tabId="9" name="PivotTable7"/>
  </pivotTables>
  <data>
    <tabular pivotCacheId="316493597">
      <items count="5">
        <i x="2"/>
        <i x="4"/>
        <i x="0"/>
        <i x="1"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FA3ECE-8504-4F3A-81F0-46138595E636}" sourceName="Category">
  <pivotTables>
    <pivotTable tabId="9" name="PivotTable7"/>
    <pivotTable tabId="4" name="PivotTable2"/>
    <pivotTable tabId="3" name="PivotTable1"/>
    <pivotTable tabId="5" name="PivotTable3"/>
    <pivotTable tabId="7" name="PivotTable5"/>
    <pivotTable tabId="8" name="PivotTable6"/>
  </pivotTables>
  <data>
    <tabular pivotCacheId="31649359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B9A95F9-BE1E-4530-AEF1-D3A99D0DDD83}" sourceName="Salesperson">
  <pivotTables>
    <pivotTable tabId="9" name="PivotTable7"/>
    <pivotTable tabId="4" name="PivotTable2"/>
    <pivotTable tabId="3" name="PivotTable1"/>
    <pivotTable tabId="5" name="PivotTable3"/>
    <pivotTable tabId="7" name="PivotTable5"/>
    <pivotTable tabId="8" name="PivotTable6"/>
  </pivotTables>
  <data>
    <tabular pivotCacheId="316493597">
      <items count="6">
        <i x="1" s="1"/>
        <i x="4" s="1"/>
        <i x="3" s="1"/>
        <i x="2"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7512262-BB20-49F1-AC20-456EC51CC391}" cache="Slicer_Region" caption="Region" rowHeight="241300"/>
  <slicer name="Category" xr10:uid="{617F5059-B147-42C4-AE8E-9135BBFD96A4}" cache="Slicer_Category" caption="Category" rowHeight="241300"/>
  <slicer name="Salesperson" xr10:uid="{8D6874BC-EECA-4CD8-B6F6-E69A5C5FDA4B}" cache="Slicer_Salesperson" caption="Sales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FBA7C4-3BD6-4CFB-9483-B406140D601C}" name="Table1" displayName="Table1" ref="A1:K1002" totalsRowCount="1" headerRowDxfId="25" headerRowBorderDxfId="24" tableBorderDxfId="23" totalsRowBorderDxfId="22">
  <autoFilter ref="A1:K1001" xr:uid="{456CD90F-802C-4405-991C-EAFFD63DA31A}"/>
  <tableColumns count="11">
    <tableColumn id="1" xr3:uid="{3524A81F-EA0C-4BC4-86E6-F5ECC896DE8F}" name="Order ID" dataDxfId="21" totalsRowDxfId="20"/>
    <tableColumn id="2" xr3:uid="{83971B65-3272-4E04-9FAD-84C5427F7C98}" name="Order Date" dataDxfId="19" totalsRowDxfId="18"/>
    <tableColumn id="3" xr3:uid="{1332EBFC-3296-45BB-BFA3-373B177019B9}" name="Region" dataDxfId="17" totalsRowDxfId="16"/>
    <tableColumn id="4" xr3:uid="{84CB0F67-A21D-4614-8A3C-C6FC77793624}" name="Category" dataDxfId="15" totalsRowDxfId="14"/>
    <tableColumn id="5" xr3:uid="{D09F7BF0-4124-47B1-8B7B-7DD567117C90}" name="Product" dataDxfId="13" totalsRowDxfId="12"/>
    <tableColumn id="6" xr3:uid="{B8F24DC1-F9F5-4930-B96F-E1D04C9ABF53}" name="Quantity" totalsRowFunction="custom" dataDxfId="11" totalsRowDxfId="10">
      <totalsRowFormula>SUM(Table1[Quantity])</totalsRowFormula>
    </tableColumn>
    <tableColumn id="7" xr3:uid="{62BDB66A-F7D1-494B-8676-1EF89D651A04}" name="Unit Price" dataDxfId="9" totalsRowDxfId="8"/>
    <tableColumn id="8" xr3:uid="{DC3D089E-A052-48FC-996F-9D1122E38EC9}" name="Sales" totalsRowFunction="custom" dataDxfId="7" totalsRowDxfId="6">
      <totalsRowFormula>SUM(Table1[Sales])</totalsRowFormula>
    </tableColumn>
    <tableColumn id="9" xr3:uid="{5EC52B9F-33FD-4E6D-98FD-AF6DD1CFB9F3}" name="Cost" dataDxfId="5" totalsRowDxfId="4"/>
    <tableColumn id="10" xr3:uid="{06C030DE-ABAC-471E-B018-456CE2189BDA}" name="Profit" totalsRowFunction="custom" dataDxfId="3" totalsRowDxfId="2">
      <totalsRowFormula>SUM(Table1[Profit])</totalsRowFormula>
    </tableColumn>
    <tableColumn id="11" xr3:uid="{9B6E9663-0C03-4524-9568-28E6D1EDD0E0}" name="Salesperson" dataDxfId="1" totalsRow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I11"/>
  <sheetViews>
    <sheetView workbookViewId="0">
      <selection activeCell="H16" sqref="H16"/>
    </sheetView>
  </sheetViews>
  <sheetFormatPr defaultRowHeight="15" x14ac:dyDescent="0.25"/>
  <cols>
    <col min="1" max="1" width="13.140625" bestFit="1" customWidth="1"/>
    <col min="2" max="2" width="16.28515625" customWidth="1"/>
    <col min="3" max="3" width="11" customWidth="1"/>
    <col min="4" max="4" width="14.5703125" bestFit="1" customWidth="1"/>
    <col min="5" max="5" width="12.5703125" bestFit="1" customWidth="1"/>
    <col min="6" max="6" width="11" bestFit="1" customWidth="1"/>
    <col min="7" max="7" width="14.5703125" bestFit="1" customWidth="1"/>
    <col min="8" max="8" width="16.42578125" bestFit="1" customWidth="1"/>
    <col min="9" max="9" width="17.7109375" bestFit="1" customWidth="1"/>
  </cols>
  <sheetData>
    <row r="3" spans="1:9" x14ac:dyDescent="0.25">
      <c r="B3" s="2" t="s">
        <v>38</v>
      </c>
    </row>
    <row r="4" spans="1:9" x14ac:dyDescent="0.25">
      <c r="B4" t="s">
        <v>34</v>
      </c>
      <c r="E4" t="s">
        <v>35</v>
      </c>
      <c r="H4" t="s">
        <v>39</v>
      </c>
      <c r="I4" t="s">
        <v>40</v>
      </c>
    </row>
    <row r="5" spans="1:9" x14ac:dyDescent="0.25">
      <c r="A5" s="2" t="s">
        <v>36</v>
      </c>
      <c r="B5" t="s">
        <v>16</v>
      </c>
      <c r="C5" t="s">
        <v>23</v>
      </c>
      <c r="D5" t="s">
        <v>12</v>
      </c>
      <c r="E5" t="s">
        <v>16</v>
      </c>
      <c r="F5" t="s">
        <v>23</v>
      </c>
      <c r="G5" t="s">
        <v>12</v>
      </c>
    </row>
    <row r="6" spans="1:9" x14ac:dyDescent="0.25">
      <c r="A6" s="3" t="s">
        <v>19</v>
      </c>
      <c r="B6" s="1">
        <v>1010625.8600000001</v>
      </c>
      <c r="C6" s="1">
        <v>810941.07000000018</v>
      </c>
      <c r="D6" s="1">
        <v>884632.36999999988</v>
      </c>
      <c r="E6" s="1">
        <v>441874.14</v>
      </c>
      <c r="F6" s="1">
        <v>416408.93000000023</v>
      </c>
      <c r="G6" s="1">
        <v>344917.62999999995</v>
      </c>
      <c r="H6" s="1">
        <v>2706199.3</v>
      </c>
      <c r="I6" s="1">
        <v>1203200.7000000002</v>
      </c>
    </row>
    <row r="7" spans="1:9" x14ac:dyDescent="0.25">
      <c r="A7" s="3" t="s">
        <v>32</v>
      </c>
      <c r="B7" s="1">
        <v>510837.71999999991</v>
      </c>
      <c r="C7" s="1">
        <v>929739.1</v>
      </c>
      <c r="D7" s="1">
        <v>1034756.1899999996</v>
      </c>
      <c r="E7" s="1">
        <v>205662.28</v>
      </c>
      <c r="F7" s="1">
        <v>351460.89999999997</v>
      </c>
      <c r="G7" s="1">
        <v>333993.80999999994</v>
      </c>
      <c r="H7" s="1">
        <v>2475333.0099999993</v>
      </c>
      <c r="I7" s="1">
        <v>891116.98999999987</v>
      </c>
    </row>
    <row r="8" spans="1:9" x14ac:dyDescent="0.25">
      <c r="A8" s="3" t="s">
        <v>11</v>
      </c>
      <c r="B8" s="1">
        <v>795852.37</v>
      </c>
      <c r="C8" s="1">
        <v>700191.79999999993</v>
      </c>
      <c r="D8" s="1">
        <v>1144342.9000000004</v>
      </c>
      <c r="E8" s="1">
        <v>277297.62999999995</v>
      </c>
      <c r="F8" s="1">
        <v>294558.19999999984</v>
      </c>
      <c r="G8" s="1">
        <v>505007.1</v>
      </c>
      <c r="H8" s="1">
        <v>2640387.0700000003</v>
      </c>
      <c r="I8" s="1">
        <v>1076862.9299999997</v>
      </c>
    </row>
    <row r="9" spans="1:9" x14ac:dyDescent="0.25">
      <c r="A9" s="3" t="s">
        <v>15</v>
      </c>
      <c r="B9" s="1">
        <v>781957.54999999993</v>
      </c>
      <c r="C9" s="1">
        <v>746026.7999999997</v>
      </c>
      <c r="D9" s="1">
        <v>944682.86999999976</v>
      </c>
      <c r="E9" s="1">
        <v>324942.45</v>
      </c>
      <c r="F9" s="1">
        <v>299023.19999999995</v>
      </c>
      <c r="G9" s="1">
        <v>336167.12999999995</v>
      </c>
      <c r="H9" s="1">
        <v>2472667.2199999993</v>
      </c>
      <c r="I9" s="1">
        <v>960132.7799999998</v>
      </c>
    </row>
    <row r="10" spans="1:9" x14ac:dyDescent="0.25">
      <c r="A10" s="3" t="s">
        <v>30</v>
      </c>
      <c r="B10" s="1">
        <v>1025193.6900000001</v>
      </c>
      <c r="C10" s="1">
        <v>849111.40999999968</v>
      </c>
      <c r="D10" s="1">
        <v>851966.56</v>
      </c>
      <c r="E10" s="1">
        <v>396906.31</v>
      </c>
      <c r="F10" s="1">
        <v>314388.58999999997</v>
      </c>
      <c r="G10" s="1">
        <v>374683.44000000006</v>
      </c>
      <c r="H10" s="1">
        <v>2726271.6599999997</v>
      </c>
      <c r="I10" s="1">
        <v>1085978.3399999999</v>
      </c>
    </row>
    <row r="11" spans="1:9" x14ac:dyDescent="0.25">
      <c r="A11" s="3" t="s">
        <v>37</v>
      </c>
      <c r="B11" s="1">
        <v>4124467.19</v>
      </c>
      <c r="C11" s="1">
        <v>4036010.1799999997</v>
      </c>
      <c r="D11" s="1">
        <v>4860380.8899999997</v>
      </c>
      <c r="E11" s="1">
        <v>1646682.81</v>
      </c>
      <c r="F11" s="1">
        <v>1675839.8199999998</v>
      </c>
      <c r="G11" s="1">
        <v>1894769.1099999999</v>
      </c>
      <c r="H11" s="1">
        <v>13020858.259999998</v>
      </c>
      <c r="I11" s="1">
        <v>5217291.7399999993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EA053-E26E-4D02-A631-88498EA042BD}">
  <dimension ref="A3:B9"/>
  <sheetViews>
    <sheetView workbookViewId="0">
      <selection activeCell="I28" sqref="I28"/>
    </sheetView>
  </sheetViews>
  <sheetFormatPr defaultRowHeight="15" x14ac:dyDescent="0.25"/>
  <cols>
    <col min="1" max="1" width="13.140625" bestFit="1" customWidth="1"/>
    <col min="2" max="2" width="12.140625" bestFit="1" customWidth="1"/>
  </cols>
  <sheetData>
    <row r="3" spans="1:2" x14ac:dyDescent="0.25">
      <c r="A3" s="2" t="s">
        <v>36</v>
      </c>
      <c r="B3" t="s">
        <v>41</v>
      </c>
    </row>
    <row r="4" spans="1:2" x14ac:dyDescent="0.25">
      <c r="A4" s="3" t="s">
        <v>19</v>
      </c>
      <c r="B4" s="1">
        <v>3909400</v>
      </c>
    </row>
    <row r="5" spans="1:2" x14ac:dyDescent="0.25">
      <c r="A5" s="3" t="s">
        <v>32</v>
      </c>
      <c r="B5" s="1">
        <v>3366450</v>
      </c>
    </row>
    <row r="6" spans="1:2" x14ac:dyDescent="0.25">
      <c r="A6" s="3" t="s">
        <v>11</v>
      </c>
      <c r="B6" s="1">
        <v>3717250</v>
      </c>
    </row>
    <row r="7" spans="1:2" x14ac:dyDescent="0.25">
      <c r="A7" s="3" t="s">
        <v>15</v>
      </c>
      <c r="B7" s="1">
        <v>3432800</v>
      </c>
    </row>
    <row r="8" spans="1:2" x14ac:dyDescent="0.25">
      <c r="A8" s="3" t="s">
        <v>30</v>
      </c>
      <c r="B8" s="1">
        <v>3812250</v>
      </c>
    </row>
    <row r="9" spans="1:2" x14ac:dyDescent="0.25">
      <c r="A9" s="3" t="s">
        <v>37</v>
      </c>
      <c r="B9" s="1">
        <v>18238150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CB73C-CAE1-4D06-AAA5-2AC6A957BB61}">
  <dimension ref="A3:B9"/>
  <sheetViews>
    <sheetView workbookViewId="0">
      <selection activeCell="A5" sqref="A5"/>
    </sheetView>
  </sheetViews>
  <sheetFormatPr defaultRowHeight="15" x14ac:dyDescent="0.25"/>
  <cols>
    <col min="1" max="1" width="13.140625" bestFit="1" customWidth="1"/>
    <col min="2" max="2" width="12.5703125" bestFit="1" customWidth="1"/>
  </cols>
  <sheetData>
    <row r="3" spans="1:2" x14ac:dyDescent="0.25">
      <c r="A3" s="2" t="s">
        <v>36</v>
      </c>
      <c r="B3" t="s">
        <v>35</v>
      </c>
    </row>
    <row r="4" spans="1:2" x14ac:dyDescent="0.25">
      <c r="A4" s="3" t="s">
        <v>19</v>
      </c>
      <c r="B4" s="1">
        <v>1203200.7000000004</v>
      </c>
    </row>
    <row r="5" spans="1:2" x14ac:dyDescent="0.25">
      <c r="A5" s="3" t="s">
        <v>32</v>
      </c>
      <c r="B5" s="1">
        <v>891116.99000000057</v>
      </c>
    </row>
    <row r="6" spans="1:2" x14ac:dyDescent="0.25">
      <c r="A6" s="3" t="s">
        <v>11</v>
      </c>
      <c r="B6" s="1">
        <v>1076862.93</v>
      </c>
    </row>
    <row r="7" spans="1:2" x14ac:dyDescent="0.25">
      <c r="A7" s="3" t="s">
        <v>15</v>
      </c>
      <c r="B7" s="1">
        <v>960132.78000000049</v>
      </c>
    </row>
    <row r="8" spans="1:2" x14ac:dyDescent="0.25">
      <c r="A8" s="3" t="s">
        <v>30</v>
      </c>
      <c r="B8" s="1">
        <v>1085978.3400000003</v>
      </c>
    </row>
    <row r="9" spans="1:2" x14ac:dyDescent="0.25">
      <c r="A9" s="3" t="s">
        <v>37</v>
      </c>
      <c r="B9" s="1">
        <v>5217291.7400000021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4B3BE-E34A-4542-853B-69CE78A7EF50}">
  <dimension ref="A3:B7"/>
  <sheetViews>
    <sheetView workbookViewId="0">
      <selection activeCell="O19" sqref="O19"/>
    </sheetView>
  </sheetViews>
  <sheetFormatPr defaultRowHeight="15" x14ac:dyDescent="0.25"/>
  <cols>
    <col min="1" max="1" width="14.5703125" bestFit="1" customWidth="1"/>
    <col min="2" max="2" width="12.140625" bestFit="1" customWidth="1"/>
  </cols>
  <sheetData>
    <row r="3" spans="1:2" x14ac:dyDescent="0.25">
      <c r="A3" s="2" t="s">
        <v>36</v>
      </c>
      <c r="B3" t="s">
        <v>41</v>
      </c>
    </row>
    <row r="4" spans="1:2" x14ac:dyDescent="0.25">
      <c r="A4" s="3" t="s">
        <v>16</v>
      </c>
      <c r="B4" s="1">
        <v>5771150</v>
      </c>
    </row>
    <row r="5" spans="1:2" x14ac:dyDescent="0.25">
      <c r="A5" s="3" t="s">
        <v>23</v>
      </c>
      <c r="B5" s="1">
        <v>5711850</v>
      </c>
    </row>
    <row r="6" spans="1:2" x14ac:dyDescent="0.25">
      <c r="A6" s="3" t="s">
        <v>12</v>
      </c>
      <c r="B6" s="1">
        <v>6755150</v>
      </c>
    </row>
    <row r="7" spans="1:2" x14ac:dyDescent="0.25">
      <c r="A7" s="3" t="s">
        <v>37</v>
      </c>
      <c r="B7" s="1">
        <v>18238150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A18E9-89D1-47B7-AF02-0F3DF55DBFC9}">
  <dimension ref="A3:B7"/>
  <sheetViews>
    <sheetView workbookViewId="0">
      <selection activeCell="P19" sqref="P19"/>
    </sheetView>
  </sheetViews>
  <sheetFormatPr defaultRowHeight="15" x14ac:dyDescent="0.25"/>
  <cols>
    <col min="1" max="1" width="14.5703125" bestFit="1" customWidth="1"/>
    <col min="2" max="2" width="12.5703125" bestFit="1" customWidth="1"/>
  </cols>
  <sheetData>
    <row r="3" spans="1:2" x14ac:dyDescent="0.25">
      <c r="A3" t="s">
        <v>36</v>
      </c>
      <c r="B3" t="s">
        <v>35</v>
      </c>
    </row>
    <row r="4" spans="1:2" x14ac:dyDescent="0.25">
      <c r="A4" s="3" t="s">
        <v>16</v>
      </c>
      <c r="B4" s="1">
        <v>1646682.8100000017</v>
      </c>
    </row>
    <row r="5" spans="1:2" x14ac:dyDescent="0.25">
      <c r="A5" s="3" t="s">
        <v>23</v>
      </c>
      <c r="B5" s="1">
        <v>1675839.82</v>
      </c>
    </row>
    <row r="6" spans="1:2" x14ac:dyDescent="0.25">
      <c r="A6" s="3" t="s">
        <v>12</v>
      </c>
      <c r="B6" s="1">
        <v>1894769.1099999992</v>
      </c>
    </row>
    <row r="7" spans="1:2" x14ac:dyDescent="0.25">
      <c r="A7" s="3" t="s">
        <v>37</v>
      </c>
      <c r="B7" s="1">
        <v>5217291.7400000012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93896-72F1-42CD-A2F9-A236F978E924}">
  <dimension ref="A3:B13"/>
  <sheetViews>
    <sheetView workbookViewId="0">
      <selection activeCell="M13" sqref="M13"/>
    </sheetView>
  </sheetViews>
  <sheetFormatPr defaultRowHeight="15" x14ac:dyDescent="0.25"/>
  <cols>
    <col min="1" max="1" width="13.140625" bestFit="1" customWidth="1"/>
    <col min="2" max="2" width="12.140625" bestFit="1" customWidth="1"/>
  </cols>
  <sheetData>
    <row r="3" spans="1:2" x14ac:dyDescent="0.25">
      <c r="A3" s="2" t="s">
        <v>36</v>
      </c>
      <c r="B3" t="s">
        <v>41</v>
      </c>
    </row>
    <row r="4" spans="1:2" x14ac:dyDescent="0.25">
      <c r="A4" s="3" t="s">
        <v>26</v>
      </c>
      <c r="B4" s="1">
        <v>1888450</v>
      </c>
    </row>
    <row r="5" spans="1:2" x14ac:dyDescent="0.25">
      <c r="A5" s="3" t="s">
        <v>24</v>
      </c>
      <c r="B5" s="1">
        <v>1962900</v>
      </c>
    </row>
    <row r="6" spans="1:2" x14ac:dyDescent="0.25">
      <c r="A6" s="3" t="s">
        <v>25</v>
      </c>
      <c r="B6" s="1">
        <v>1860500</v>
      </c>
    </row>
    <row r="7" spans="1:2" x14ac:dyDescent="0.25">
      <c r="A7" s="3" t="s">
        <v>17</v>
      </c>
      <c r="B7" s="1">
        <v>1540750</v>
      </c>
    </row>
    <row r="8" spans="1:2" x14ac:dyDescent="0.25">
      <c r="A8" s="3" t="s">
        <v>20</v>
      </c>
      <c r="B8" s="1">
        <v>2568450</v>
      </c>
    </row>
    <row r="9" spans="1:2" x14ac:dyDescent="0.25">
      <c r="A9" s="3" t="s">
        <v>31</v>
      </c>
      <c r="B9" s="1">
        <v>2441550</v>
      </c>
    </row>
    <row r="10" spans="1:2" x14ac:dyDescent="0.25">
      <c r="A10" s="3" t="s">
        <v>13</v>
      </c>
      <c r="B10" s="1">
        <v>2220050</v>
      </c>
    </row>
    <row r="11" spans="1:2" x14ac:dyDescent="0.25">
      <c r="A11" s="3" t="s">
        <v>33</v>
      </c>
      <c r="B11" s="1">
        <v>2093550</v>
      </c>
    </row>
    <row r="12" spans="1:2" x14ac:dyDescent="0.25">
      <c r="A12" s="3" t="s">
        <v>22</v>
      </c>
      <c r="B12" s="1">
        <v>1661950</v>
      </c>
    </row>
    <row r="13" spans="1:2" x14ac:dyDescent="0.25">
      <c r="A13" s="3" t="s">
        <v>37</v>
      </c>
      <c r="B13" s="1">
        <v>18238150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FEC3E-D6FD-4C8E-9713-FFBF2A678D2D}">
  <dimension ref="A3:B10"/>
  <sheetViews>
    <sheetView workbookViewId="0">
      <selection activeCell="K26" sqref="K26"/>
    </sheetView>
  </sheetViews>
  <sheetFormatPr defaultRowHeight="15" x14ac:dyDescent="0.25"/>
  <cols>
    <col min="1" max="1" width="13.140625" bestFit="1" customWidth="1"/>
    <col min="2" max="2" width="12.140625" bestFit="1" customWidth="1"/>
  </cols>
  <sheetData>
    <row r="3" spans="1:2" x14ac:dyDescent="0.25">
      <c r="A3" s="2" t="s">
        <v>36</v>
      </c>
      <c r="B3" t="s">
        <v>41</v>
      </c>
    </row>
    <row r="4" spans="1:2" x14ac:dyDescent="0.25">
      <c r="A4" s="3" t="s">
        <v>18</v>
      </c>
      <c r="B4" s="1">
        <v>3026800</v>
      </c>
    </row>
    <row r="5" spans="1:2" x14ac:dyDescent="0.25">
      <c r="A5" s="3" t="s">
        <v>28</v>
      </c>
      <c r="B5" s="1">
        <v>2998700</v>
      </c>
    </row>
    <row r="6" spans="1:2" x14ac:dyDescent="0.25">
      <c r="A6" s="3" t="s">
        <v>27</v>
      </c>
      <c r="B6" s="1">
        <v>2394250</v>
      </c>
    </row>
    <row r="7" spans="1:2" x14ac:dyDescent="0.25">
      <c r="A7" s="3" t="s">
        <v>21</v>
      </c>
      <c r="B7" s="1">
        <v>3964500</v>
      </c>
    </row>
    <row r="8" spans="1:2" x14ac:dyDescent="0.25">
      <c r="A8" s="3" t="s">
        <v>29</v>
      </c>
      <c r="B8" s="1">
        <v>2864500</v>
      </c>
    </row>
    <row r="9" spans="1:2" x14ac:dyDescent="0.25">
      <c r="A9" s="3" t="s">
        <v>14</v>
      </c>
      <c r="B9" s="1">
        <v>2989400</v>
      </c>
    </row>
    <row r="10" spans="1:2" x14ac:dyDescent="0.25">
      <c r="A10" s="3" t="s">
        <v>37</v>
      </c>
      <c r="B10" s="1">
        <v>18238150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3EB54-10B3-40B7-A57A-204CFD6F11BF}">
  <dimension ref="A3:B16"/>
  <sheetViews>
    <sheetView workbookViewId="0">
      <selection activeCell="D70" sqref="D70"/>
    </sheetView>
  </sheetViews>
  <sheetFormatPr defaultRowHeight="15" x14ac:dyDescent="0.25"/>
  <cols>
    <col min="1" max="1" width="13.140625" bestFit="1" customWidth="1"/>
    <col min="2" max="2" width="12.140625" bestFit="1" customWidth="1"/>
  </cols>
  <sheetData>
    <row r="3" spans="1:2" x14ac:dyDescent="0.25">
      <c r="A3" s="2" t="s">
        <v>36</v>
      </c>
      <c r="B3" t="s">
        <v>41</v>
      </c>
    </row>
    <row r="4" spans="1:2" x14ac:dyDescent="0.25">
      <c r="A4" s="3" t="s">
        <v>42</v>
      </c>
      <c r="B4" s="1">
        <v>209650</v>
      </c>
    </row>
    <row r="5" spans="1:2" x14ac:dyDescent="0.25">
      <c r="A5" s="3" t="s">
        <v>43</v>
      </c>
      <c r="B5" s="1">
        <v>109800</v>
      </c>
    </row>
    <row r="6" spans="1:2" x14ac:dyDescent="0.25">
      <c r="A6" s="3" t="s">
        <v>44</v>
      </c>
      <c r="B6" s="1">
        <v>88000</v>
      </c>
    </row>
    <row r="7" spans="1:2" x14ac:dyDescent="0.25">
      <c r="A7" s="3" t="s">
        <v>45</v>
      </c>
      <c r="B7" s="1">
        <v>379150</v>
      </c>
    </row>
    <row r="8" spans="1:2" x14ac:dyDescent="0.25">
      <c r="A8" s="3" t="s">
        <v>46</v>
      </c>
      <c r="B8" s="1">
        <v>349400</v>
      </c>
    </row>
    <row r="9" spans="1:2" x14ac:dyDescent="0.25">
      <c r="A9" s="3" t="s">
        <v>47</v>
      </c>
      <c r="B9" s="1">
        <v>559050</v>
      </c>
    </row>
    <row r="10" spans="1:2" x14ac:dyDescent="0.25">
      <c r="A10" s="3" t="s">
        <v>48</v>
      </c>
      <c r="B10" s="1">
        <v>243550</v>
      </c>
    </row>
    <row r="11" spans="1:2" x14ac:dyDescent="0.25">
      <c r="A11" s="3" t="s">
        <v>49</v>
      </c>
      <c r="B11" s="1">
        <v>315650</v>
      </c>
    </row>
    <row r="12" spans="1:2" x14ac:dyDescent="0.25">
      <c r="A12" s="3" t="s">
        <v>50</v>
      </c>
      <c r="B12" s="1">
        <v>220100</v>
      </c>
    </row>
    <row r="13" spans="1:2" x14ac:dyDescent="0.25">
      <c r="A13" s="3" t="s">
        <v>51</v>
      </c>
      <c r="B13" s="1">
        <v>487050</v>
      </c>
    </row>
    <row r="14" spans="1:2" x14ac:dyDescent="0.25">
      <c r="A14" s="3" t="s">
        <v>52</v>
      </c>
      <c r="B14" s="1">
        <v>166250</v>
      </c>
    </row>
    <row r="15" spans="1:2" x14ac:dyDescent="0.25">
      <c r="A15" s="3" t="s">
        <v>53</v>
      </c>
      <c r="B15" s="1">
        <v>305150</v>
      </c>
    </row>
    <row r="16" spans="1:2" x14ac:dyDescent="0.25">
      <c r="A16" s="3" t="s">
        <v>37</v>
      </c>
      <c r="B16" s="1">
        <v>3432800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B04C3-0964-45F4-9166-DA9D9CD42A91}">
  <dimension ref="A1:G65"/>
  <sheetViews>
    <sheetView showGridLines="0" tabSelected="1" zoomScale="70" zoomScaleNormal="70" workbookViewId="0">
      <selection activeCell="J67" sqref="J67"/>
    </sheetView>
  </sheetViews>
  <sheetFormatPr defaultRowHeight="15" x14ac:dyDescent="0.25"/>
  <cols>
    <col min="1" max="1" width="34.28515625" customWidth="1"/>
    <col min="2" max="2" width="32.85546875" customWidth="1"/>
    <col min="3" max="3" width="38.85546875" customWidth="1"/>
    <col min="4" max="4" width="55.85546875" customWidth="1"/>
    <col min="5" max="5" width="44.28515625" customWidth="1"/>
  </cols>
  <sheetData>
    <row r="1" spans="1:5" ht="59.25" customHeight="1" thickBot="1" x14ac:dyDescent="0.7">
      <c r="A1" s="35" t="s">
        <v>65</v>
      </c>
      <c r="B1" s="35"/>
      <c r="C1" s="35"/>
      <c r="D1" s="35"/>
      <c r="E1" s="35"/>
    </row>
    <row r="2" spans="1:5" ht="43.5" customHeight="1" x14ac:dyDescent="0.3">
      <c r="A2" s="27" t="s">
        <v>68</v>
      </c>
      <c r="B2" s="28" t="s">
        <v>71</v>
      </c>
      <c r="C2" s="28" t="s">
        <v>72</v>
      </c>
      <c r="D2" s="28" t="s">
        <v>73</v>
      </c>
      <c r="E2" s="29" t="s">
        <v>74</v>
      </c>
    </row>
    <row r="3" spans="1:5" ht="43.5" customHeight="1" x14ac:dyDescent="0.5">
      <c r="A3" s="30" t="s">
        <v>69</v>
      </c>
      <c r="B3" s="25" t="s">
        <v>70</v>
      </c>
      <c r="C3" s="26">
        <v>1000</v>
      </c>
      <c r="D3" s="26">
        <v>5586</v>
      </c>
      <c r="E3" s="31">
        <v>0.28610000000000002</v>
      </c>
    </row>
    <row r="4" spans="1:5" ht="15.75" thickBot="1" x14ac:dyDescent="0.3">
      <c r="A4" s="32"/>
      <c r="B4" s="33"/>
      <c r="C4" s="33"/>
      <c r="D4" s="33"/>
      <c r="E4" s="34"/>
    </row>
    <row r="59" spans="1:7" ht="45" customHeight="1" x14ac:dyDescent="0.25"/>
    <row r="60" spans="1:7" ht="52.5" hidden="1" customHeight="1" x14ac:dyDescent="0.25"/>
    <row r="61" spans="1:7" ht="20.25" x14ac:dyDescent="0.3">
      <c r="A61" s="36" t="s">
        <v>66</v>
      </c>
      <c r="B61" s="36"/>
      <c r="C61" s="36"/>
      <c r="D61" s="36"/>
      <c r="E61" s="36"/>
      <c r="F61" s="36"/>
      <c r="G61" s="36"/>
    </row>
    <row r="62" spans="1:7" ht="5.25" customHeight="1" x14ac:dyDescent="0.25"/>
    <row r="63" spans="1:7" hidden="1" x14ac:dyDescent="0.25"/>
    <row r="64" spans="1:7" ht="23.25" x14ac:dyDescent="0.35">
      <c r="B64" s="23" t="s">
        <v>67</v>
      </c>
      <c r="C64" s="23"/>
      <c r="D64" s="23"/>
      <c r="E64" s="24"/>
    </row>
    <row r="65" spans="2:4" ht="23.25" x14ac:dyDescent="0.35">
      <c r="B65" s="37"/>
      <c r="C65" s="37"/>
      <c r="D65" s="37"/>
    </row>
  </sheetData>
  <mergeCells count="2">
    <mergeCell ref="A1:E1"/>
    <mergeCell ref="A61:G6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00B77-0774-45DD-A8E3-FF0F831F19BC}">
  <dimension ref="A1:H13"/>
  <sheetViews>
    <sheetView workbookViewId="0">
      <selection activeCell="E27" sqref="E27"/>
    </sheetView>
  </sheetViews>
  <sheetFormatPr defaultRowHeight="15" x14ac:dyDescent="0.25"/>
  <cols>
    <col min="1" max="1" width="20.28515625" customWidth="1"/>
    <col min="2" max="2" width="31.42578125" customWidth="1"/>
    <col min="3" max="3" width="17.5703125" customWidth="1"/>
    <col min="4" max="4" width="24.140625" customWidth="1"/>
    <col min="5" max="5" width="22.5703125" customWidth="1"/>
    <col min="6" max="6" width="21.7109375" customWidth="1"/>
    <col min="7" max="7" width="28.28515625" customWidth="1"/>
    <col min="8" max="8" width="21.140625" customWidth="1"/>
  </cols>
  <sheetData>
    <row r="1" spans="1:8" ht="20.25" x14ac:dyDescent="0.3">
      <c r="A1" s="18" t="s">
        <v>54</v>
      </c>
      <c r="B1" s="18" t="s">
        <v>62</v>
      </c>
      <c r="D1" s="20" t="s">
        <v>57</v>
      </c>
      <c r="E1" s="20" t="s">
        <v>58</v>
      </c>
      <c r="F1" s="20" t="s">
        <v>59</v>
      </c>
      <c r="G1" s="20" t="s">
        <v>61</v>
      </c>
      <c r="H1" s="20" t="s">
        <v>60</v>
      </c>
    </row>
    <row r="2" spans="1:8" ht="20.25" x14ac:dyDescent="0.3">
      <c r="A2" s="4" t="s">
        <v>57</v>
      </c>
      <c r="B2" s="4"/>
      <c r="D2" s="20" t="s">
        <v>63</v>
      </c>
      <c r="E2" s="20" t="s">
        <v>64</v>
      </c>
      <c r="F2" s="20">
        <v>1000</v>
      </c>
      <c r="G2" s="20">
        <v>5586</v>
      </c>
      <c r="H2" s="21">
        <v>0.28610000000000002</v>
      </c>
    </row>
    <row r="3" spans="1:8" x14ac:dyDescent="0.25">
      <c r="A3" s="4" t="s">
        <v>58</v>
      </c>
      <c r="B3" s="4"/>
    </row>
    <row r="4" spans="1:8" x14ac:dyDescent="0.25">
      <c r="A4" s="4" t="s">
        <v>59</v>
      </c>
      <c r="B4" s="4"/>
    </row>
    <row r="5" spans="1:8" x14ac:dyDescent="0.25">
      <c r="A5" s="4" t="s">
        <v>61</v>
      </c>
      <c r="B5" s="4"/>
    </row>
    <row r="6" spans="1:8" x14ac:dyDescent="0.25">
      <c r="A6" s="4" t="s">
        <v>60</v>
      </c>
      <c r="B6" s="4"/>
    </row>
    <row r="8" spans="1:8" x14ac:dyDescent="0.25">
      <c r="A8" s="18" t="s">
        <v>56</v>
      </c>
      <c r="B8" s="18" t="s">
        <v>55</v>
      </c>
    </row>
    <row r="9" spans="1:8" x14ac:dyDescent="0.25">
      <c r="A9" s="4" t="s">
        <v>57</v>
      </c>
      <c r="B9" s="19">
        <v>18238150</v>
      </c>
    </row>
    <row r="10" spans="1:8" x14ac:dyDescent="0.25">
      <c r="A10" s="4" t="s">
        <v>58</v>
      </c>
      <c r="B10" s="16">
        <v>5217291.74</v>
      </c>
    </row>
    <row r="11" spans="1:8" x14ac:dyDescent="0.25">
      <c r="A11" s="4" t="s">
        <v>59</v>
      </c>
      <c r="B11" s="15">
        <v>1000</v>
      </c>
    </row>
    <row r="12" spans="1:8" x14ac:dyDescent="0.25">
      <c r="A12" s="4" t="s">
        <v>61</v>
      </c>
      <c r="B12" s="15">
        <v>5586</v>
      </c>
    </row>
    <row r="13" spans="1:8" x14ac:dyDescent="0.25">
      <c r="A13" s="4" t="s">
        <v>60</v>
      </c>
      <c r="B13" s="17">
        <v>0.28610000000000002</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2"/>
  <sheetViews>
    <sheetView topLeftCell="A2" workbookViewId="0">
      <selection activeCell="J4" sqref="J4"/>
    </sheetView>
  </sheetViews>
  <sheetFormatPr defaultRowHeight="15" x14ac:dyDescent="0.25"/>
  <cols>
    <col min="1" max="1" width="14" customWidth="1"/>
    <col min="2" max="12" width="21.7109375" customWidth="1"/>
  </cols>
  <sheetData>
    <row r="1" spans="1:11" ht="18.75" x14ac:dyDescent="0.3">
      <c r="A1" s="8" t="s">
        <v>0</v>
      </c>
      <c r="B1" s="9" t="s">
        <v>1</v>
      </c>
      <c r="C1" s="9" t="s">
        <v>2</v>
      </c>
      <c r="D1" s="9" t="s">
        <v>3</v>
      </c>
      <c r="E1" s="9" t="s">
        <v>4</v>
      </c>
      <c r="F1" s="9" t="s">
        <v>5</v>
      </c>
      <c r="G1" s="9" t="s">
        <v>6</v>
      </c>
      <c r="H1" s="9" t="s">
        <v>7</v>
      </c>
      <c r="I1" s="9" t="s">
        <v>8</v>
      </c>
      <c r="J1" s="9" t="s">
        <v>9</v>
      </c>
      <c r="K1" s="10" t="s">
        <v>10</v>
      </c>
    </row>
    <row r="2" spans="1:11" x14ac:dyDescent="0.25">
      <c r="A2" s="6">
        <v>1001</v>
      </c>
      <c r="B2" s="5">
        <v>45772</v>
      </c>
      <c r="C2" s="4" t="s">
        <v>11</v>
      </c>
      <c r="D2" s="4" t="s">
        <v>12</v>
      </c>
      <c r="E2" s="4" t="s">
        <v>13</v>
      </c>
      <c r="F2" s="4">
        <v>1</v>
      </c>
      <c r="G2" s="4">
        <v>5000</v>
      </c>
      <c r="H2" s="4">
        <v>5000</v>
      </c>
      <c r="I2" s="4">
        <v>3231.3</v>
      </c>
      <c r="J2" s="4">
        <v>1768.7</v>
      </c>
      <c r="K2" s="7" t="s">
        <v>14</v>
      </c>
    </row>
    <row r="3" spans="1:11" x14ac:dyDescent="0.25">
      <c r="A3" s="6">
        <v>1002</v>
      </c>
      <c r="B3" s="5">
        <v>45674</v>
      </c>
      <c r="C3" s="4" t="s">
        <v>15</v>
      </c>
      <c r="D3" s="4" t="s">
        <v>16</v>
      </c>
      <c r="E3" s="4" t="s">
        <v>17</v>
      </c>
      <c r="F3" s="4">
        <v>9</v>
      </c>
      <c r="G3" s="4">
        <v>150</v>
      </c>
      <c r="H3" s="4">
        <v>1350</v>
      </c>
      <c r="I3" s="4">
        <v>1021.51</v>
      </c>
      <c r="J3" s="4">
        <v>328.49</v>
      </c>
      <c r="K3" s="7" t="s">
        <v>18</v>
      </c>
    </row>
    <row r="4" spans="1:11" x14ac:dyDescent="0.25">
      <c r="A4" s="6">
        <v>1003</v>
      </c>
      <c r="B4" s="5">
        <v>45759</v>
      </c>
      <c r="C4" s="4" t="s">
        <v>19</v>
      </c>
      <c r="D4" s="4" t="s">
        <v>16</v>
      </c>
      <c r="E4" s="4" t="s">
        <v>20</v>
      </c>
      <c r="F4" s="4">
        <v>9</v>
      </c>
      <c r="G4" s="4">
        <v>2500</v>
      </c>
      <c r="H4" s="4">
        <v>22500</v>
      </c>
      <c r="I4" s="4">
        <v>12583.97</v>
      </c>
      <c r="J4" s="4">
        <v>9916.0300000000007</v>
      </c>
      <c r="K4" s="7" t="s">
        <v>21</v>
      </c>
    </row>
    <row r="5" spans="1:11" x14ac:dyDescent="0.25">
      <c r="A5" s="6">
        <v>1004</v>
      </c>
      <c r="B5" s="5">
        <v>45661</v>
      </c>
      <c r="C5" s="4" t="s">
        <v>11</v>
      </c>
      <c r="D5" s="4" t="s">
        <v>16</v>
      </c>
      <c r="E5" s="4" t="s">
        <v>22</v>
      </c>
      <c r="F5" s="4">
        <v>10</v>
      </c>
      <c r="G5" s="4">
        <v>500</v>
      </c>
      <c r="H5" s="4">
        <v>5000</v>
      </c>
      <c r="I5" s="4">
        <v>4166.5</v>
      </c>
      <c r="J5" s="4">
        <v>833.5</v>
      </c>
      <c r="K5" s="7" t="s">
        <v>14</v>
      </c>
    </row>
    <row r="6" spans="1:11" x14ac:dyDescent="0.25">
      <c r="A6" s="6">
        <v>1005</v>
      </c>
      <c r="B6" s="5">
        <v>45830</v>
      </c>
      <c r="C6" s="4" t="s">
        <v>15</v>
      </c>
      <c r="D6" s="4" t="s">
        <v>23</v>
      </c>
      <c r="E6" s="4" t="s">
        <v>24</v>
      </c>
      <c r="F6" s="4">
        <v>5</v>
      </c>
      <c r="G6" s="4">
        <v>250</v>
      </c>
      <c r="H6" s="4">
        <v>1250</v>
      </c>
      <c r="I6" s="4">
        <v>781.7</v>
      </c>
      <c r="J6" s="4">
        <v>468.3</v>
      </c>
      <c r="K6" s="7" t="s">
        <v>18</v>
      </c>
    </row>
    <row r="7" spans="1:11" x14ac:dyDescent="0.25">
      <c r="A7" s="6">
        <v>1006</v>
      </c>
      <c r="B7" s="5">
        <v>45793</v>
      </c>
      <c r="C7" s="4" t="s">
        <v>15</v>
      </c>
      <c r="D7" s="4" t="s">
        <v>23</v>
      </c>
      <c r="E7" s="4" t="s">
        <v>25</v>
      </c>
      <c r="F7" s="4">
        <v>6</v>
      </c>
      <c r="G7" s="4">
        <v>12000</v>
      </c>
      <c r="H7" s="4">
        <v>72000</v>
      </c>
      <c r="I7" s="4">
        <v>48267.68</v>
      </c>
      <c r="J7" s="4">
        <v>23732.32</v>
      </c>
      <c r="K7" s="7" t="s">
        <v>14</v>
      </c>
    </row>
    <row r="8" spans="1:11" x14ac:dyDescent="0.25">
      <c r="A8" s="6">
        <v>1007</v>
      </c>
      <c r="B8" s="5">
        <v>45808</v>
      </c>
      <c r="C8" s="4" t="s">
        <v>19</v>
      </c>
      <c r="D8" s="4" t="s">
        <v>23</v>
      </c>
      <c r="E8" s="4" t="s">
        <v>26</v>
      </c>
      <c r="F8" s="4">
        <v>2</v>
      </c>
      <c r="G8" s="4">
        <v>1200</v>
      </c>
      <c r="H8" s="4">
        <v>2400</v>
      </c>
      <c r="I8" s="4">
        <v>1386.19</v>
      </c>
      <c r="J8" s="4">
        <v>1013.81</v>
      </c>
      <c r="K8" s="7" t="s">
        <v>27</v>
      </c>
    </row>
    <row r="9" spans="1:11" x14ac:dyDescent="0.25">
      <c r="A9" s="6">
        <v>1008</v>
      </c>
      <c r="B9" s="5">
        <v>45806</v>
      </c>
      <c r="C9" s="4" t="s">
        <v>15</v>
      </c>
      <c r="D9" s="4" t="s">
        <v>12</v>
      </c>
      <c r="E9" s="4" t="s">
        <v>13</v>
      </c>
      <c r="F9" s="4">
        <v>2</v>
      </c>
      <c r="G9" s="4">
        <v>150</v>
      </c>
      <c r="H9" s="4">
        <v>300</v>
      </c>
      <c r="I9" s="4">
        <v>234.43</v>
      </c>
      <c r="J9" s="4">
        <v>65.569999999999993</v>
      </c>
      <c r="K9" s="7" t="s">
        <v>28</v>
      </c>
    </row>
    <row r="10" spans="1:11" x14ac:dyDescent="0.25">
      <c r="A10" s="6">
        <v>1009</v>
      </c>
      <c r="B10" s="5">
        <v>45844</v>
      </c>
      <c r="C10" s="4" t="s">
        <v>11</v>
      </c>
      <c r="D10" s="4" t="s">
        <v>16</v>
      </c>
      <c r="E10" s="4" t="s">
        <v>22</v>
      </c>
      <c r="F10" s="4">
        <v>5</v>
      </c>
      <c r="G10" s="4">
        <v>1200</v>
      </c>
      <c r="H10" s="4">
        <v>6000</v>
      </c>
      <c r="I10" s="4">
        <v>4634.9399999999996</v>
      </c>
      <c r="J10" s="4">
        <v>1365.06</v>
      </c>
      <c r="K10" s="7" t="s">
        <v>27</v>
      </c>
    </row>
    <row r="11" spans="1:11" x14ac:dyDescent="0.25">
      <c r="A11" s="6">
        <v>1010</v>
      </c>
      <c r="B11" s="5">
        <v>45989</v>
      </c>
      <c r="C11" s="4" t="s">
        <v>15</v>
      </c>
      <c r="D11" s="4" t="s">
        <v>23</v>
      </c>
      <c r="E11" s="4" t="s">
        <v>25</v>
      </c>
      <c r="F11" s="4">
        <v>5</v>
      </c>
      <c r="G11" s="4">
        <v>5000</v>
      </c>
      <c r="H11" s="4">
        <v>25000</v>
      </c>
      <c r="I11" s="4">
        <v>21945.73</v>
      </c>
      <c r="J11" s="4">
        <v>3054.27</v>
      </c>
      <c r="K11" s="7" t="s">
        <v>29</v>
      </c>
    </row>
    <row r="12" spans="1:11" x14ac:dyDescent="0.25">
      <c r="A12" s="6">
        <v>1011</v>
      </c>
      <c r="B12" s="5">
        <v>45894</v>
      </c>
      <c r="C12" s="4" t="s">
        <v>30</v>
      </c>
      <c r="D12" s="4" t="s">
        <v>12</v>
      </c>
      <c r="E12" s="4" t="s">
        <v>13</v>
      </c>
      <c r="F12" s="4">
        <v>9</v>
      </c>
      <c r="G12" s="4">
        <v>5000</v>
      </c>
      <c r="H12" s="4">
        <v>45000</v>
      </c>
      <c r="I12" s="4">
        <v>28605.77</v>
      </c>
      <c r="J12" s="4">
        <v>16394.23</v>
      </c>
      <c r="K12" s="7" t="s">
        <v>27</v>
      </c>
    </row>
    <row r="13" spans="1:11" x14ac:dyDescent="0.25">
      <c r="A13" s="6">
        <v>1012</v>
      </c>
      <c r="B13" s="5">
        <v>45686</v>
      </c>
      <c r="C13" s="4" t="s">
        <v>11</v>
      </c>
      <c r="D13" s="4" t="s">
        <v>12</v>
      </c>
      <c r="E13" s="4" t="s">
        <v>31</v>
      </c>
      <c r="F13" s="4">
        <v>9</v>
      </c>
      <c r="G13" s="4">
        <v>250</v>
      </c>
      <c r="H13" s="4">
        <v>2250</v>
      </c>
      <c r="I13" s="4">
        <v>1776.63</v>
      </c>
      <c r="J13" s="4">
        <v>473.37</v>
      </c>
      <c r="K13" s="7" t="s">
        <v>18</v>
      </c>
    </row>
    <row r="14" spans="1:11" x14ac:dyDescent="0.25">
      <c r="A14" s="6">
        <v>1013</v>
      </c>
      <c r="B14" s="5">
        <v>45948</v>
      </c>
      <c r="C14" s="4" t="s">
        <v>32</v>
      </c>
      <c r="D14" s="4" t="s">
        <v>23</v>
      </c>
      <c r="E14" s="4" t="s">
        <v>24</v>
      </c>
      <c r="F14" s="4">
        <v>5</v>
      </c>
      <c r="G14" s="4">
        <v>150</v>
      </c>
      <c r="H14" s="4">
        <v>750</v>
      </c>
      <c r="I14" s="4">
        <v>467.88</v>
      </c>
      <c r="J14" s="4">
        <v>282.12</v>
      </c>
      <c r="K14" s="7" t="s">
        <v>28</v>
      </c>
    </row>
    <row r="15" spans="1:11" x14ac:dyDescent="0.25">
      <c r="A15" s="6">
        <v>1014</v>
      </c>
      <c r="B15" s="5">
        <v>45793</v>
      </c>
      <c r="C15" s="4" t="s">
        <v>11</v>
      </c>
      <c r="D15" s="4" t="s">
        <v>12</v>
      </c>
      <c r="E15" s="4" t="s">
        <v>33</v>
      </c>
      <c r="F15" s="4">
        <v>7</v>
      </c>
      <c r="G15" s="4">
        <v>5000</v>
      </c>
      <c r="H15" s="4">
        <v>35000</v>
      </c>
      <c r="I15" s="4">
        <v>24870.94</v>
      </c>
      <c r="J15" s="4">
        <v>10129.06</v>
      </c>
      <c r="K15" s="7" t="s">
        <v>28</v>
      </c>
    </row>
    <row r="16" spans="1:11" x14ac:dyDescent="0.25">
      <c r="A16" s="6">
        <v>1015</v>
      </c>
      <c r="B16" s="5">
        <v>45877</v>
      </c>
      <c r="C16" s="4" t="s">
        <v>19</v>
      </c>
      <c r="D16" s="4" t="s">
        <v>12</v>
      </c>
      <c r="E16" s="4" t="s">
        <v>31</v>
      </c>
      <c r="F16" s="4">
        <v>9</v>
      </c>
      <c r="G16" s="4">
        <v>500</v>
      </c>
      <c r="H16" s="4">
        <v>4500</v>
      </c>
      <c r="I16" s="4">
        <v>3651.55</v>
      </c>
      <c r="J16" s="4">
        <v>848.45</v>
      </c>
      <c r="K16" s="7" t="s">
        <v>21</v>
      </c>
    </row>
    <row r="17" spans="1:11" x14ac:dyDescent="0.25">
      <c r="A17" s="6">
        <v>1016</v>
      </c>
      <c r="B17" s="5">
        <v>45682</v>
      </c>
      <c r="C17" s="4" t="s">
        <v>15</v>
      </c>
      <c r="D17" s="4" t="s">
        <v>23</v>
      </c>
      <c r="E17" s="4" t="s">
        <v>25</v>
      </c>
      <c r="F17" s="4">
        <v>3</v>
      </c>
      <c r="G17" s="4">
        <v>2500</v>
      </c>
      <c r="H17" s="4">
        <v>7500</v>
      </c>
      <c r="I17" s="4">
        <v>5420.48</v>
      </c>
      <c r="J17" s="4">
        <v>2079.52</v>
      </c>
      <c r="K17" s="7" t="s">
        <v>28</v>
      </c>
    </row>
    <row r="18" spans="1:11" x14ac:dyDescent="0.25">
      <c r="A18" s="6">
        <v>1017</v>
      </c>
      <c r="B18" s="5">
        <v>45853</v>
      </c>
      <c r="C18" s="4" t="s">
        <v>19</v>
      </c>
      <c r="D18" s="4" t="s">
        <v>12</v>
      </c>
      <c r="E18" s="4" t="s">
        <v>13</v>
      </c>
      <c r="F18" s="4">
        <v>7</v>
      </c>
      <c r="G18" s="4">
        <v>2500</v>
      </c>
      <c r="H18" s="4">
        <v>17500</v>
      </c>
      <c r="I18" s="4">
        <v>10014.11</v>
      </c>
      <c r="J18" s="4">
        <v>7485.89</v>
      </c>
      <c r="K18" s="7" t="s">
        <v>21</v>
      </c>
    </row>
    <row r="19" spans="1:11" x14ac:dyDescent="0.25">
      <c r="A19" s="6">
        <v>1018</v>
      </c>
      <c r="B19" s="5">
        <v>46006</v>
      </c>
      <c r="C19" s="4" t="s">
        <v>15</v>
      </c>
      <c r="D19" s="4" t="s">
        <v>12</v>
      </c>
      <c r="E19" s="4" t="s">
        <v>33</v>
      </c>
      <c r="F19" s="4">
        <v>9</v>
      </c>
      <c r="G19" s="4">
        <v>12000</v>
      </c>
      <c r="H19" s="4">
        <v>108000</v>
      </c>
      <c r="I19" s="4">
        <v>95023.89</v>
      </c>
      <c r="J19" s="4">
        <v>12976.11</v>
      </c>
      <c r="K19" s="7" t="s">
        <v>14</v>
      </c>
    </row>
    <row r="20" spans="1:11" x14ac:dyDescent="0.25">
      <c r="A20" s="6">
        <v>1019</v>
      </c>
      <c r="B20" s="5">
        <v>45738</v>
      </c>
      <c r="C20" s="4" t="s">
        <v>30</v>
      </c>
      <c r="D20" s="4" t="s">
        <v>12</v>
      </c>
      <c r="E20" s="4" t="s">
        <v>33</v>
      </c>
      <c r="F20" s="4">
        <v>6</v>
      </c>
      <c r="G20" s="4">
        <v>150</v>
      </c>
      <c r="H20" s="4">
        <v>900</v>
      </c>
      <c r="I20" s="4">
        <v>587.45000000000005</v>
      </c>
      <c r="J20" s="4">
        <v>312.55</v>
      </c>
      <c r="K20" s="7" t="s">
        <v>18</v>
      </c>
    </row>
    <row r="21" spans="1:11" x14ac:dyDescent="0.25">
      <c r="A21" s="6">
        <v>1020</v>
      </c>
      <c r="B21" s="5">
        <v>45917</v>
      </c>
      <c r="C21" s="4" t="s">
        <v>15</v>
      </c>
      <c r="D21" s="4" t="s">
        <v>12</v>
      </c>
      <c r="E21" s="4" t="s">
        <v>31</v>
      </c>
      <c r="F21" s="4">
        <v>5</v>
      </c>
      <c r="G21" s="4">
        <v>2500</v>
      </c>
      <c r="H21" s="4">
        <v>12500</v>
      </c>
      <c r="I21" s="4">
        <v>10208.58</v>
      </c>
      <c r="J21" s="4">
        <v>2291.42</v>
      </c>
      <c r="K21" s="7" t="s">
        <v>14</v>
      </c>
    </row>
    <row r="22" spans="1:11" x14ac:dyDescent="0.25">
      <c r="A22" s="6">
        <v>1021</v>
      </c>
      <c r="B22" s="5">
        <v>45849</v>
      </c>
      <c r="C22" s="4" t="s">
        <v>11</v>
      </c>
      <c r="D22" s="4" t="s">
        <v>23</v>
      </c>
      <c r="E22" s="4" t="s">
        <v>26</v>
      </c>
      <c r="F22" s="4">
        <v>9</v>
      </c>
      <c r="G22" s="4">
        <v>2500</v>
      </c>
      <c r="H22" s="4">
        <v>22500</v>
      </c>
      <c r="I22" s="4">
        <v>13941.42</v>
      </c>
      <c r="J22" s="4">
        <v>8558.58</v>
      </c>
      <c r="K22" s="7" t="s">
        <v>29</v>
      </c>
    </row>
    <row r="23" spans="1:11" x14ac:dyDescent="0.25">
      <c r="A23" s="6">
        <v>1022</v>
      </c>
      <c r="B23" s="5">
        <v>45715</v>
      </c>
      <c r="C23" s="4" t="s">
        <v>32</v>
      </c>
      <c r="D23" s="4" t="s">
        <v>12</v>
      </c>
      <c r="E23" s="4" t="s">
        <v>13</v>
      </c>
      <c r="F23" s="4">
        <v>10</v>
      </c>
      <c r="G23" s="4">
        <v>500</v>
      </c>
      <c r="H23" s="4">
        <v>5000</v>
      </c>
      <c r="I23" s="4">
        <v>3605.06</v>
      </c>
      <c r="J23" s="4">
        <v>1394.94</v>
      </c>
      <c r="K23" s="7" t="s">
        <v>27</v>
      </c>
    </row>
    <row r="24" spans="1:11" x14ac:dyDescent="0.25">
      <c r="A24" s="6">
        <v>1023</v>
      </c>
      <c r="B24" s="5">
        <v>45701</v>
      </c>
      <c r="C24" s="4" t="s">
        <v>30</v>
      </c>
      <c r="D24" s="4" t="s">
        <v>16</v>
      </c>
      <c r="E24" s="4" t="s">
        <v>20</v>
      </c>
      <c r="F24" s="4">
        <v>4</v>
      </c>
      <c r="G24" s="4">
        <v>2500</v>
      </c>
      <c r="H24" s="4">
        <v>10000</v>
      </c>
      <c r="I24" s="4">
        <v>8814.32</v>
      </c>
      <c r="J24" s="4">
        <v>1185.68</v>
      </c>
      <c r="K24" s="7" t="s">
        <v>18</v>
      </c>
    </row>
    <row r="25" spans="1:11" x14ac:dyDescent="0.25">
      <c r="A25" s="6">
        <v>1024</v>
      </c>
      <c r="B25" s="5">
        <v>45939</v>
      </c>
      <c r="C25" s="4" t="s">
        <v>11</v>
      </c>
      <c r="D25" s="4" t="s">
        <v>12</v>
      </c>
      <c r="E25" s="4" t="s">
        <v>13</v>
      </c>
      <c r="F25" s="4">
        <v>3</v>
      </c>
      <c r="G25" s="4">
        <v>5000</v>
      </c>
      <c r="H25" s="4">
        <v>15000</v>
      </c>
      <c r="I25" s="4">
        <v>10745.23</v>
      </c>
      <c r="J25" s="4">
        <v>4254.7700000000004</v>
      </c>
      <c r="K25" s="7" t="s">
        <v>27</v>
      </c>
    </row>
    <row r="26" spans="1:11" x14ac:dyDescent="0.25">
      <c r="A26" s="6">
        <v>1025</v>
      </c>
      <c r="B26" s="5">
        <v>46011</v>
      </c>
      <c r="C26" s="4" t="s">
        <v>11</v>
      </c>
      <c r="D26" s="4" t="s">
        <v>12</v>
      </c>
      <c r="E26" s="4" t="s">
        <v>31</v>
      </c>
      <c r="F26" s="4">
        <v>7</v>
      </c>
      <c r="G26" s="4">
        <v>250</v>
      </c>
      <c r="H26" s="4">
        <v>1750</v>
      </c>
      <c r="I26" s="4">
        <v>1531.46</v>
      </c>
      <c r="J26" s="4">
        <v>218.54</v>
      </c>
      <c r="K26" s="7" t="s">
        <v>14</v>
      </c>
    </row>
    <row r="27" spans="1:11" x14ac:dyDescent="0.25">
      <c r="A27" s="6">
        <v>1026</v>
      </c>
      <c r="B27" s="5">
        <v>45889</v>
      </c>
      <c r="C27" s="4" t="s">
        <v>15</v>
      </c>
      <c r="D27" s="4" t="s">
        <v>23</v>
      </c>
      <c r="E27" s="4" t="s">
        <v>24</v>
      </c>
      <c r="F27" s="4">
        <v>6</v>
      </c>
      <c r="G27" s="4">
        <v>1200</v>
      </c>
      <c r="H27" s="4">
        <v>7200</v>
      </c>
      <c r="I27" s="4">
        <v>6227.03</v>
      </c>
      <c r="J27" s="4">
        <v>972.97</v>
      </c>
      <c r="K27" s="7" t="s">
        <v>28</v>
      </c>
    </row>
    <row r="28" spans="1:11" x14ac:dyDescent="0.25">
      <c r="A28" s="6">
        <v>1027</v>
      </c>
      <c r="B28" s="5">
        <v>45775</v>
      </c>
      <c r="C28" s="4" t="s">
        <v>19</v>
      </c>
      <c r="D28" s="4" t="s">
        <v>16</v>
      </c>
      <c r="E28" s="4" t="s">
        <v>20</v>
      </c>
      <c r="F28" s="4">
        <v>6</v>
      </c>
      <c r="G28" s="4">
        <v>150</v>
      </c>
      <c r="H28" s="4">
        <v>900</v>
      </c>
      <c r="I28" s="4">
        <v>680.32</v>
      </c>
      <c r="J28" s="4">
        <v>219.68</v>
      </c>
      <c r="K28" s="7" t="s">
        <v>28</v>
      </c>
    </row>
    <row r="29" spans="1:11" x14ac:dyDescent="0.25">
      <c r="A29" s="6">
        <v>1028</v>
      </c>
      <c r="B29" s="5">
        <v>45674</v>
      </c>
      <c r="C29" s="4" t="s">
        <v>32</v>
      </c>
      <c r="D29" s="4" t="s">
        <v>16</v>
      </c>
      <c r="E29" s="4" t="s">
        <v>20</v>
      </c>
      <c r="F29" s="4">
        <v>1</v>
      </c>
      <c r="G29" s="4">
        <v>250</v>
      </c>
      <c r="H29" s="4">
        <v>250</v>
      </c>
      <c r="I29" s="4">
        <v>143.4</v>
      </c>
      <c r="J29" s="4">
        <v>106.6</v>
      </c>
      <c r="K29" s="7" t="s">
        <v>18</v>
      </c>
    </row>
    <row r="30" spans="1:11" x14ac:dyDescent="0.25">
      <c r="A30" s="6">
        <v>1029</v>
      </c>
      <c r="B30" s="5">
        <v>45934</v>
      </c>
      <c r="C30" s="4" t="s">
        <v>11</v>
      </c>
      <c r="D30" s="4" t="s">
        <v>12</v>
      </c>
      <c r="E30" s="4" t="s">
        <v>13</v>
      </c>
      <c r="F30" s="4">
        <v>5</v>
      </c>
      <c r="G30" s="4">
        <v>5000</v>
      </c>
      <c r="H30" s="4">
        <v>25000</v>
      </c>
      <c r="I30" s="4">
        <v>17997.38</v>
      </c>
      <c r="J30" s="4">
        <v>7002.62</v>
      </c>
      <c r="K30" s="7" t="s">
        <v>14</v>
      </c>
    </row>
    <row r="31" spans="1:11" x14ac:dyDescent="0.25">
      <c r="A31" s="6">
        <v>1030</v>
      </c>
      <c r="B31" s="5">
        <v>45866</v>
      </c>
      <c r="C31" s="4" t="s">
        <v>11</v>
      </c>
      <c r="D31" s="4" t="s">
        <v>12</v>
      </c>
      <c r="E31" s="4" t="s">
        <v>31</v>
      </c>
      <c r="F31" s="4">
        <v>8</v>
      </c>
      <c r="G31" s="4">
        <v>250</v>
      </c>
      <c r="H31" s="4">
        <v>2000</v>
      </c>
      <c r="I31" s="4">
        <v>1649.23</v>
      </c>
      <c r="J31" s="4">
        <v>350.77</v>
      </c>
      <c r="K31" s="7" t="s">
        <v>18</v>
      </c>
    </row>
    <row r="32" spans="1:11" x14ac:dyDescent="0.25">
      <c r="A32" s="6">
        <v>1031</v>
      </c>
      <c r="B32" s="5">
        <v>45897</v>
      </c>
      <c r="C32" s="4" t="s">
        <v>15</v>
      </c>
      <c r="D32" s="4" t="s">
        <v>16</v>
      </c>
      <c r="E32" s="4" t="s">
        <v>17</v>
      </c>
      <c r="F32" s="4">
        <v>7</v>
      </c>
      <c r="G32" s="4">
        <v>500</v>
      </c>
      <c r="H32" s="4">
        <v>3500</v>
      </c>
      <c r="I32" s="4">
        <v>2443.88</v>
      </c>
      <c r="J32" s="4">
        <v>1056.1199999999999</v>
      </c>
      <c r="K32" s="7" t="s">
        <v>14</v>
      </c>
    </row>
    <row r="33" spans="1:11" x14ac:dyDescent="0.25">
      <c r="A33" s="6">
        <v>1032</v>
      </c>
      <c r="B33" s="5">
        <v>45831</v>
      </c>
      <c r="C33" s="4" t="s">
        <v>15</v>
      </c>
      <c r="D33" s="4" t="s">
        <v>12</v>
      </c>
      <c r="E33" s="4" t="s">
        <v>31</v>
      </c>
      <c r="F33" s="4">
        <v>2</v>
      </c>
      <c r="G33" s="4">
        <v>150</v>
      </c>
      <c r="H33" s="4">
        <v>300</v>
      </c>
      <c r="I33" s="4">
        <v>207.28</v>
      </c>
      <c r="J33" s="4">
        <v>92.72</v>
      </c>
      <c r="K33" s="7" t="s">
        <v>28</v>
      </c>
    </row>
    <row r="34" spans="1:11" x14ac:dyDescent="0.25">
      <c r="A34" s="6">
        <v>1033</v>
      </c>
      <c r="B34" s="5">
        <v>45751</v>
      </c>
      <c r="C34" s="4" t="s">
        <v>32</v>
      </c>
      <c r="D34" s="4" t="s">
        <v>16</v>
      </c>
      <c r="E34" s="4" t="s">
        <v>20</v>
      </c>
      <c r="F34" s="4">
        <v>9</v>
      </c>
      <c r="G34" s="4">
        <v>1200</v>
      </c>
      <c r="H34" s="4">
        <v>10800</v>
      </c>
      <c r="I34" s="4">
        <v>6469.89</v>
      </c>
      <c r="J34" s="4">
        <v>4330.1099999999997</v>
      </c>
      <c r="K34" s="7" t="s">
        <v>21</v>
      </c>
    </row>
    <row r="35" spans="1:11" x14ac:dyDescent="0.25">
      <c r="A35" s="6">
        <v>1034</v>
      </c>
      <c r="B35" s="5">
        <v>45939</v>
      </c>
      <c r="C35" s="4" t="s">
        <v>15</v>
      </c>
      <c r="D35" s="4" t="s">
        <v>16</v>
      </c>
      <c r="E35" s="4" t="s">
        <v>20</v>
      </c>
      <c r="F35" s="4">
        <v>8</v>
      </c>
      <c r="G35" s="4">
        <v>12000</v>
      </c>
      <c r="H35" s="4">
        <v>96000</v>
      </c>
      <c r="I35" s="4">
        <v>81741.33</v>
      </c>
      <c r="J35" s="4">
        <v>14258.67</v>
      </c>
      <c r="K35" s="7" t="s">
        <v>18</v>
      </c>
    </row>
    <row r="36" spans="1:11" x14ac:dyDescent="0.25">
      <c r="A36" s="6">
        <v>1035</v>
      </c>
      <c r="B36" s="5">
        <v>45779</v>
      </c>
      <c r="C36" s="4" t="s">
        <v>11</v>
      </c>
      <c r="D36" s="4" t="s">
        <v>12</v>
      </c>
      <c r="E36" s="4" t="s">
        <v>31</v>
      </c>
      <c r="F36" s="4">
        <v>1</v>
      </c>
      <c r="G36" s="4">
        <v>150</v>
      </c>
      <c r="H36" s="4">
        <v>150</v>
      </c>
      <c r="I36" s="4">
        <v>131.13</v>
      </c>
      <c r="J36" s="4">
        <v>18.87</v>
      </c>
      <c r="K36" s="7" t="s">
        <v>21</v>
      </c>
    </row>
    <row r="37" spans="1:11" x14ac:dyDescent="0.25">
      <c r="A37" s="6">
        <v>1036</v>
      </c>
      <c r="B37" s="5">
        <v>45688</v>
      </c>
      <c r="C37" s="4" t="s">
        <v>11</v>
      </c>
      <c r="D37" s="4" t="s">
        <v>23</v>
      </c>
      <c r="E37" s="4" t="s">
        <v>24</v>
      </c>
      <c r="F37" s="4">
        <v>4</v>
      </c>
      <c r="G37" s="4">
        <v>12000</v>
      </c>
      <c r="H37" s="4">
        <v>48000</v>
      </c>
      <c r="I37" s="4">
        <v>33137.480000000003</v>
      </c>
      <c r="J37" s="4">
        <v>14862.52</v>
      </c>
      <c r="K37" s="7" t="s">
        <v>21</v>
      </c>
    </row>
    <row r="38" spans="1:11" x14ac:dyDescent="0.25">
      <c r="A38" s="6">
        <v>1037</v>
      </c>
      <c r="B38" s="5">
        <v>45804</v>
      </c>
      <c r="C38" s="4" t="s">
        <v>30</v>
      </c>
      <c r="D38" s="4" t="s">
        <v>16</v>
      </c>
      <c r="E38" s="4" t="s">
        <v>22</v>
      </c>
      <c r="F38" s="4">
        <v>5</v>
      </c>
      <c r="G38" s="4">
        <v>12000</v>
      </c>
      <c r="H38" s="4">
        <v>60000</v>
      </c>
      <c r="I38" s="4">
        <v>49487.72</v>
      </c>
      <c r="J38" s="4">
        <v>10512.28</v>
      </c>
      <c r="K38" s="7" t="s">
        <v>14</v>
      </c>
    </row>
    <row r="39" spans="1:11" x14ac:dyDescent="0.25">
      <c r="A39" s="6">
        <v>1038</v>
      </c>
      <c r="B39" s="5">
        <v>45769</v>
      </c>
      <c r="C39" s="4" t="s">
        <v>15</v>
      </c>
      <c r="D39" s="4" t="s">
        <v>12</v>
      </c>
      <c r="E39" s="4" t="s">
        <v>31</v>
      </c>
      <c r="F39" s="4">
        <v>8</v>
      </c>
      <c r="G39" s="4">
        <v>250</v>
      </c>
      <c r="H39" s="4">
        <v>2000</v>
      </c>
      <c r="I39" s="4">
        <v>1232.93</v>
      </c>
      <c r="J39" s="4">
        <v>767.07</v>
      </c>
      <c r="K39" s="7" t="s">
        <v>29</v>
      </c>
    </row>
    <row r="40" spans="1:11" x14ac:dyDescent="0.25">
      <c r="A40" s="6">
        <v>1039</v>
      </c>
      <c r="B40" s="5">
        <v>45683</v>
      </c>
      <c r="C40" s="4" t="s">
        <v>19</v>
      </c>
      <c r="D40" s="4" t="s">
        <v>12</v>
      </c>
      <c r="E40" s="4" t="s">
        <v>31</v>
      </c>
      <c r="F40" s="4">
        <v>1</v>
      </c>
      <c r="G40" s="4">
        <v>5000</v>
      </c>
      <c r="H40" s="4">
        <v>5000</v>
      </c>
      <c r="I40" s="4">
        <v>3298.81</v>
      </c>
      <c r="J40" s="4">
        <v>1701.19</v>
      </c>
      <c r="K40" s="7" t="s">
        <v>21</v>
      </c>
    </row>
    <row r="41" spans="1:11" x14ac:dyDescent="0.25">
      <c r="A41" s="6">
        <v>1040</v>
      </c>
      <c r="B41" s="5">
        <v>45699</v>
      </c>
      <c r="C41" s="4" t="s">
        <v>11</v>
      </c>
      <c r="D41" s="4" t="s">
        <v>12</v>
      </c>
      <c r="E41" s="4" t="s">
        <v>31</v>
      </c>
      <c r="F41" s="4">
        <v>3</v>
      </c>
      <c r="G41" s="4">
        <v>150</v>
      </c>
      <c r="H41" s="4">
        <v>450</v>
      </c>
      <c r="I41" s="4">
        <v>398.82</v>
      </c>
      <c r="J41" s="4">
        <v>51.18</v>
      </c>
      <c r="K41" s="7" t="s">
        <v>18</v>
      </c>
    </row>
    <row r="42" spans="1:11" x14ac:dyDescent="0.25">
      <c r="A42" s="6">
        <v>1041</v>
      </c>
      <c r="B42" s="5">
        <v>45949</v>
      </c>
      <c r="C42" s="4" t="s">
        <v>11</v>
      </c>
      <c r="D42" s="4" t="s">
        <v>12</v>
      </c>
      <c r="E42" s="4" t="s">
        <v>13</v>
      </c>
      <c r="F42" s="4">
        <v>4</v>
      </c>
      <c r="G42" s="4">
        <v>1200</v>
      </c>
      <c r="H42" s="4">
        <v>4800</v>
      </c>
      <c r="I42" s="4">
        <v>2841.41</v>
      </c>
      <c r="J42" s="4">
        <v>1958.59</v>
      </c>
      <c r="K42" s="7" t="s">
        <v>29</v>
      </c>
    </row>
    <row r="43" spans="1:11" x14ac:dyDescent="0.25">
      <c r="A43" s="6">
        <v>1042</v>
      </c>
      <c r="B43" s="5">
        <v>45956</v>
      </c>
      <c r="C43" s="4" t="s">
        <v>19</v>
      </c>
      <c r="D43" s="4" t="s">
        <v>12</v>
      </c>
      <c r="E43" s="4" t="s">
        <v>13</v>
      </c>
      <c r="F43" s="4">
        <v>10</v>
      </c>
      <c r="G43" s="4">
        <v>150</v>
      </c>
      <c r="H43" s="4">
        <v>1500</v>
      </c>
      <c r="I43" s="4">
        <v>1045.0899999999999</v>
      </c>
      <c r="J43" s="4">
        <v>454.91</v>
      </c>
      <c r="K43" s="7" t="s">
        <v>29</v>
      </c>
    </row>
    <row r="44" spans="1:11" x14ac:dyDescent="0.25">
      <c r="A44" s="6">
        <v>1043</v>
      </c>
      <c r="B44" s="5">
        <v>45780</v>
      </c>
      <c r="C44" s="4" t="s">
        <v>32</v>
      </c>
      <c r="D44" s="4" t="s">
        <v>23</v>
      </c>
      <c r="E44" s="4" t="s">
        <v>24</v>
      </c>
      <c r="F44" s="4">
        <v>4</v>
      </c>
      <c r="G44" s="4">
        <v>5000</v>
      </c>
      <c r="H44" s="4">
        <v>20000</v>
      </c>
      <c r="I44" s="4">
        <v>16013.34</v>
      </c>
      <c r="J44" s="4">
        <v>3986.66</v>
      </c>
      <c r="K44" s="7" t="s">
        <v>21</v>
      </c>
    </row>
    <row r="45" spans="1:11" x14ac:dyDescent="0.25">
      <c r="A45" s="6">
        <v>1044</v>
      </c>
      <c r="B45" s="5">
        <v>45695</v>
      </c>
      <c r="C45" s="4" t="s">
        <v>15</v>
      </c>
      <c r="D45" s="4" t="s">
        <v>16</v>
      </c>
      <c r="E45" s="4" t="s">
        <v>17</v>
      </c>
      <c r="F45" s="4">
        <v>5</v>
      </c>
      <c r="G45" s="4">
        <v>1200</v>
      </c>
      <c r="H45" s="4">
        <v>6000</v>
      </c>
      <c r="I45" s="4">
        <v>3963.97</v>
      </c>
      <c r="J45" s="4">
        <v>2036.03</v>
      </c>
      <c r="K45" s="7" t="s">
        <v>21</v>
      </c>
    </row>
    <row r="46" spans="1:11" x14ac:dyDescent="0.25">
      <c r="A46" s="6">
        <v>1045</v>
      </c>
      <c r="B46" s="5">
        <v>45917</v>
      </c>
      <c r="C46" s="4" t="s">
        <v>32</v>
      </c>
      <c r="D46" s="4" t="s">
        <v>12</v>
      </c>
      <c r="E46" s="4" t="s">
        <v>31</v>
      </c>
      <c r="F46" s="4">
        <v>2</v>
      </c>
      <c r="G46" s="4">
        <v>150</v>
      </c>
      <c r="H46" s="4">
        <v>300</v>
      </c>
      <c r="I46" s="4">
        <v>221.45</v>
      </c>
      <c r="J46" s="4">
        <v>78.55</v>
      </c>
      <c r="K46" s="7" t="s">
        <v>28</v>
      </c>
    </row>
    <row r="47" spans="1:11" x14ac:dyDescent="0.25">
      <c r="A47" s="6">
        <v>1046</v>
      </c>
      <c r="B47" s="5">
        <v>45882</v>
      </c>
      <c r="C47" s="4" t="s">
        <v>19</v>
      </c>
      <c r="D47" s="4" t="s">
        <v>23</v>
      </c>
      <c r="E47" s="4" t="s">
        <v>25</v>
      </c>
      <c r="F47" s="4">
        <v>4</v>
      </c>
      <c r="G47" s="4">
        <v>500</v>
      </c>
      <c r="H47" s="4">
        <v>2000</v>
      </c>
      <c r="I47" s="4">
        <v>1299.49</v>
      </c>
      <c r="J47" s="4">
        <v>700.51</v>
      </c>
      <c r="K47" s="7" t="s">
        <v>14</v>
      </c>
    </row>
    <row r="48" spans="1:11" x14ac:dyDescent="0.25">
      <c r="A48" s="6">
        <v>1047</v>
      </c>
      <c r="B48" s="5">
        <v>45941</v>
      </c>
      <c r="C48" s="4" t="s">
        <v>32</v>
      </c>
      <c r="D48" s="4" t="s">
        <v>23</v>
      </c>
      <c r="E48" s="4" t="s">
        <v>26</v>
      </c>
      <c r="F48" s="4">
        <v>9</v>
      </c>
      <c r="G48" s="4">
        <v>150</v>
      </c>
      <c r="H48" s="4">
        <v>1350</v>
      </c>
      <c r="I48" s="4">
        <v>1058.07</v>
      </c>
      <c r="J48" s="4">
        <v>291.93</v>
      </c>
      <c r="K48" s="7" t="s">
        <v>14</v>
      </c>
    </row>
    <row r="49" spans="1:11" x14ac:dyDescent="0.25">
      <c r="A49" s="6">
        <v>1048</v>
      </c>
      <c r="B49" s="5">
        <v>45941</v>
      </c>
      <c r="C49" s="4" t="s">
        <v>11</v>
      </c>
      <c r="D49" s="4" t="s">
        <v>16</v>
      </c>
      <c r="E49" s="4" t="s">
        <v>20</v>
      </c>
      <c r="F49" s="4">
        <v>5</v>
      </c>
      <c r="G49" s="4">
        <v>150</v>
      </c>
      <c r="H49" s="4">
        <v>750</v>
      </c>
      <c r="I49" s="4">
        <v>646.04999999999995</v>
      </c>
      <c r="J49" s="4">
        <v>103.95</v>
      </c>
      <c r="K49" s="7" t="s">
        <v>27</v>
      </c>
    </row>
    <row r="50" spans="1:11" x14ac:dyDescent="0.25">
      <c r="A50" s="6">
        <v>1049</v>
      </c>
      <c r="B50" s="5">
        <v>46009</v>
      </c>
      <c r="C50" s="4" t="s">
        <v>32</v>
      </c>
      <c r="D50" s="4" t="s">
        <v>23</v>
      </c>
      <c r="E50" s="4" t="s">
        <v>26</v>
      </c>
      <c r="F50" s="4">
        <v>4</v>
      </c>
      <c r="G50" s="4">
        <v>5000</v>
      </c>
      <c r="H50" s="4">
        <v>20000</v>
      </c>
      <c r="I50" s="4">
        <v>13400.16</v>
      </c>
      <c r="J50" s="4">
        <v>6599.84</v>
      </c>
      <c r="K50" s="7" t="s">
        <v>29</v>
      </c>
    </row>
    <row r="51" spans="1:11" x14ac:dyDescent="0.25">
      <c r="A51" s="6">
        <v>1050</v>
      </c>
      <c r="B51" s="5">
        <v>45799</v>
      </c>
      <c r="C51" s="4" t="s">
        <v>15</v>
      </c>
      <c r="D51" s="4" t="s">
        <v>23</v>
      </c>
      <c r="E51" s="4" t="s">
        <v>24</v>
      </c>
      <c r="F51" s="4">
        <v>1</v>
      </c>
      <c r="G51" s="4">
        <v>150</v>
      </c>
      <c r="H51" s="4">
        <v>150</v>
      </c>
      <c r="I51" s="4">
        <v>115.8</v>
      </c>
      <c r="J51" s="4">
        <v>34.200000000000003</v>
      </c>
      <c r="K51" s="7" t="s">
        <v>18</v>
      </c>
    </row>
    <row r="52" spans="1:11" x14ac:dyDescent="0.25">
      <c r="A52" s="6">
        <v>1051</v>
      </c>
      <c r="B52" s="5">
        <v>45940</v>
      </c>
      <c r="C52" s="4" t="s">
        <v>30</v>
      </c>
      <c r="D52" s="4" t="s">
        <v>23</v>
      </c>
      <c r="E52" s="4" t="s">
        <v>25</v>
      </c>
      <c r="F52" s="4">
        <v>5</v>
      </c>
      <c r="G52" s="4">
        <v>250</v>
      </c>
      <c r="H52" s="4">
        <v>1250</v>
      </c>
      <c r="I52" s="4">
        <v>1011.79</v>
      </c>
      <c r="J52" s="4">
        <v>238.21</v>
      </c>
      <c r="K52" s="7" t="s">
        <v>29</v>
      </c>
    </row>
    <row r="53" spans="1:11" x14ac:dyDescent="0.25">
      <c r="A53" s="6">
        <v>1052</v>
      </c>
      <c r="B53" s="5">
        <v>45937</v>
      </c>
      <c r="C53" s="4" t="s">
        <v>15</v>
      </c>
      <c r="D53" s="4" t="s">
        <v>16</v>
      </c>
      <c r="E53" s="4" t="s">
        <v>20</v>
      </c>
      <c r="F53" s="4">
        <v>2</v>
      </c>
      <c r="G53" s="4">
        <v>5000</v>
      </c>
      <c r="H53" s="4">
        <v>10000</v>
      </c>
      <c r="I53" s="4">
        <v>8663.75</v>
      </c>
      <c r="J53" s="4">
        <v>1336.25</v>
      </c>
      <c r="K53" s="7" t="s">
        <v>27</v>
      </c>
    </row>
    <row r="54" spans="1:11" x14ac:dyDescent="0.25">
      <c r="A54" s="6">
        <v>1053</v>
      </c>
      <c r="B54" s="5">
        <v>45815</v>
      </c>
      <c r="C54" s="4" t="s">
        <v>32</v>
      </c>
      <c r="D54" s="4" t="s">
        <v>12</v>
      </c>
      <c r="E54" s="4" t="s">
        <v>31</v>
      </c>
      <c r="F54" s="4">
        <v>3</v>
      </c>
      <c r="G54" s="4">
        <v>1200</v>
      </c>
      <c r="H54" s="4">
        <v>3600</v>
      </c>
      <c r="I54" s="4">
        <v>2140.58</v>
      </c>
      <c r="J54" s="4">
        <v>1459.42</v>
      </c>
      <c r="K54" s="7" t="s">
        <v>18</v>
      </c>
    </row>
    <row r="55" spans="1:11" x14ac:dyDescent="0.25">
      <c r="A55" s="6">
        <v>1054</v>
      </c>
      <c r="B55" s="5">
        <v>45944</v>
      </c>
      <c r="C55" s="4" t="s">
        <v>30</v>
      </c>
      <c r="D55" s="4" t="s">
        <v>23</v>
      </c>
      <c r="E55" s="4" t="s">
        <v>25</v>
      </c>
      <c r="F55" s="4">
        <v>4</v>
      </c>
      <c r="G55" s="4">
        <v>5000</v>
      </c>
      <c r="H55" s="4">
        <v>20000</v>
      </c>
      <c r="I55" s="4">
        <v>11719.56</v>
      </c>
      <c r="J55" s="4">
        <v>8280.44</v>
      </c>
      <c r="K55" s="7" t="s">
        <v>29</v>
      </c>
    </row>
    <row r="56" spans="1:11" x14ac:dyDescent="0.25">
      <c r="A56" s="6">
        <v>1055</v>
      </c>
      <c r="B56" s="5">
        <v>45748</v>
      </c>
      <c r="C56" s="4" t="s">
        <v>30</v>
      </c>
      <c r="D56" s="4" t="s">
        <v>12</v>
      </c>
      <c r="E56" s="4" t="s">
        <v>13</v>
      </c>
      <c r="F56" s="4">
        <v>4</v>
      </c>
      <c r="G56" s="4">
        <v>12000</v>
      </c>
      <c r="H56" s="4">
        <v>48000</v>
      </c>
      <c r="I56" s="4">
        <v>29130.03</v>
      </c>
      <c r="J56" s="4">
        <v>18869.97</v>
      </c>
      <c r="K56" s="7" t="s">
        <v>18</v>
      </c>
    </row>
    <row r="57" spans="1:11" x14ac:dyDescent="0.25">
      <c r="A57" s="6">
        <v>1056</v>
      </c>
      <c r="B57" s="5">
        <v>46000</v>
      </c>
      <c r="C57" s="4" t="s">
        <v>11</v>
      </c>
      <c r="D57" s="4" t="s">
        <v>16</v>
      </c>
      <c r="E57" s="4" t="s">
        <v>17</v>
      </c>
      <c r="F57" s="4">
        <v>6</v>
      </c>
      <c r="G57" s="4">
        <v>12000</v>
      </c>
      <c r="H57" s="4">
        <v>72000</v>
      </c>
      <c r="I57" s="4">
        <v>63056.56</v>
      </c>
      <c r="J57" s="4">
        <v>8943.44</v>
      </c>
      <c r="K57" s="7" t="s">
        <v>27</v>
      </c>
    </row>
    <row r="58" spans="1:11" x14ac:dyDescent="0.25">
      <c r="A58" s="6">
        <v>1057</v>
      </c>
      <c r="B58" s="5">
        <v>45898</v>
      </c>
      <c r="C58" s="4" t="s">
        <v>11</v>
      </c>
      <c r="D58" s="4" t="s">
        <v>16</v>
      </c>
      <c r="E58" s="4" t="s">
        <v>17</v>
      </c>
      <c r="F58" s="4">
        <v>2</v>
      </c>
      <c r="G58" s="4">
        <v>1200</v>
      </c>
      <c r="H58" s="4">
        <v>2400</v>
      </c>
      <c r="I58" s="4">
        <v>2052.62</v>
      </c>
      <c r="J58" s="4">
        <v>347.38</v>
      </c>
      <c r="K58" s="7" t="s">
        <v>28</v>
      </c>
    </row>
    <row r="59" spans="1:11" x14ac:dyDescent="0.25">
      <c r="A59" s="6">
        <v>1058</v>
      </c>
      <c r="B59" s="5">
        <v>45774</v>
      </c>
      <c r="C59" s="4" t="s">
        <v>11</v>
      </c>
      <c r="D59" s="4" t="s">
        <v>23</v>
      </c>
      <c r="E59" s="4" t="s">
        <v>24</v>
      </c>
      <c r="F59" s="4">
        <v>5</v>
      </c>
      <c r="G59" s="4">
        <v>12000</v>
      </c>
      <c r="H59" s="4">
        <v>60000</v>
      </c>
      <c r="I59" s="4">
        <v>49702.26</v>
      </c>
      <c r="J59" s="4">
        <v>10297.74</v>
      </c>
      <c r="K59" s="7" t="s">
        <v>18</v>
      </c>
    </row>
    <row r="60" spans="1:11" x14ac:dyDescent="0.25">
      <c r="A60" s="6">
        <v>1059</v>
      </c>
      <c r="B60" s="5">
        <v>45693</v>
      </c>
      <c r="C60" s="4" t="s">
        <v>32</v>
      </c>
      <c r="D60" s="4" t="s">
        <v>12</v>
      </c>
      <c r="E60" s="4" t="s">
        <v>13</v>
      </c>
      <c r="F60" s="4">
        <v>7</v>
      </c>
      <c r="G60" s="4">
        <v>500</v>
      </c>
      <c r="H60" s="4">
        <v>3500</v>
      </c>
      <c r="I60" s="4">
        <v>2266.29</v>
      </c>
      <c r="J60" s="4">
        <v>1233.71</v>
      </c>
      <c r="K60" s="7" t="s">
        <v>27</v>
      </c>
    </row>
    <row r="61" spans="1:11" x14ac:dyDescent="0.25">
      <c r="A61" s="6">
        <v>1060</v>
      </c>
      <c r="B61" s="5">
        <v>45932</v>
      </c>
      <c r="C61" s="4" t="s">
        <v>32</v>
      </c>
      <c r="D61" s="4" t="s">
        <v>12</v>
      </c>
      <c r="E61" s="4" t="s">
        <v>31</v>
      </c>
      <c r="F61" s="4">
        <v>7</v>
      </c>
      <c r="G61" s="4">
        <v>5000</v>
      </c>
      <c r="H61" s="4">
        <v>35000</v>
      </c>
      <c r="I61" s="4">
        <v>31269.08</v>
      </c>
      <c r="J61" s="4">
        <v>3730.92</v>
      </c>
      <c r="K61" s="7" t="s">
        <v>18</v>
      </c>
    </row>
    <row r="62" spans="1:11" x14ac:dyDescent="0.25">
      <c r="A62" s="6">
        <v>1061</v>
      </c>
      <c r="B62" s="5">
        <v>45793</v>
      </c>
      <c r="C62" s="4" t="s">
        <v>15</v>
      </c>
      <c r="D62" s="4" t="s">
        <v>16</v>
      </c>
      <c r="E62" s="4" t="s">
        <v>22</v>
      </c>
      <c r="F62" s="4">
        <v>3</v>
      </c>
      <c r="G62" s="4">
        <v>2500</v>
      </c>
      <c r="H62" s="4">
        <v>7500</v>
      </c>
      <c r="I62" s="4">
        <v>6651.65</v>
      </c>
      <c r="J62" s="4">
        <v>848.35</v>
      </c>
      <c r="K62" s="7" t="s">
        <v>18</v>
      </c>
    </row>
    <row r="63" spans="1:11" x14ac:dyDescent="0.25">
      <c r="A63" s="6">
        <v>1062</v>
      </c>
      <c r="B63" s="5">
        <v>45881</v>
      </c>
      <c r="C63" s="4" t="s">
        <v>19</v>
      </c>
      <c r="D63" s="4" t="s">
        <v>12</v>
      </c>
      <c r="E63" s="4" t="s">
        <v>33</v>
      </c>
      <c r="F63" s="4">
        <v>6</v>
      </c>
      <c r="G63" s="4">
        <v>5000</v>
      </c>
      <c r="H63" s="4">
        <v>30000</v>
      </c>
      <c r="I63" s="4">
        <v>24757.5</v>
      </c>
      <c r="J63" s="4">
        <v>5242.5</v>
      </c>
      <c r="K63" s="7" t="s">
        <v>29</v>
      </c>
    </row>
    <row r="64" spans="1:11" x14ac:dyDescent="0.25">
      <c r="A64" s="6">
        <v>1063</v>
      </c>
      <c r="B64" s="5">
        <v>46020</v>
      </c>
      <c r="C64" s="4" t="s">
        <v>30</v>
      </c>
      <c r="D64" s="4" t="s">
        <v>16</v>
      </c>
      <c r="E64" s="4" t="s">
        <v>22</v>
      </c>
      <c r="F64" s="4">
        <v>10</v>
      </c>
      <c r="G64" s="4">
        <v>250</v>
      </c>
      <c r="H64" s="4">
        <v>2500</v>
      </c>
      <c r="I64" s="4">
        <v>1597.88</v>
      </c>
      <c r="J64" s="4">
        <v>902.12</v>
      </c>
      <c r="K64" s="7" t="s">
        <v>18</v>
      </c>
    </row>
    <row r="65" spans="1:11" x14ac:dyDescent="0.25">
      <c r="A65" s="6">
        <v>1064</v>
      </c>
      <c r="B65" s="5">
        <v>45998</v>
      </c>
      <c r="C65" s="4" t="s">
        <v>32</v>
      </c>
      <c r="D65" s="4" t="s">
        <v>12</v>
      </c>
      <c r="E65" s="4" t="s">
        <v>31</v>
      </c>
      <c r="F65" s="4">
        <v>4</v>
      </c>
      <c r="G65" s="4">
        <v>500</v>
      </c>
      <c r="H65" s="4">
        <v>2000</v>
      </c>
      <c r="I65" s="4">
        <v>1401.91</v>
      </c>
      <c r="J65" s="4">
        <v>598.09</v>
      </c>
      <c r="K65" s="7" t="s">
        <v>29</v>
      </c>
    </row>
    <row r="66" spans="1:11" x14ac:dyDescent="0.25">
      <c r="A66" s="6">
        <v>1065</v>
      </c>
      <c r="B66" s="5">
        <v>45917</v>
      </c>
      <c r="C66" s="4" t="s">
        <v>32</v>
      </c>
      <c r="D66" s="4" t="s">
        <v>23</v>
      </c>
      <c r="E66" s="4" t="s">
        <v>26</v>
      </c>
      <c r="F66" s="4">
        <v>2</v>
      </c>
      <c r="G66" s="4">
        <v>5000</v>
      </c>
      <c r="H66" s="4">
        <v>10000</v>
      </c>
      <c r="I66" s="4">
        <v>8650.16</v>
      </c>
      <c r="J66" s="4">
        <v>1349.84</v>
      </c>
      <c r="K66" s="7" t="s">
        <v>14</v>
      </c>
    </row>
    <row r="67" spans="1:11" x14ac:dyDescent="0.25">
      <c r="A67" s="6">
        <v>1066</v>
      </c>
      <c r="B67" s="5">
        <v>45723</v>
      </c>
      <c r="C67" s="4" t="s">
        <v>11</v>
      </c>
      <c r="D67" s="4" t="s">
        <v>23</v>
      </c>
      <c r="E67" s="4" t="s">
        <v>24</v>
      </c>
      <c r="F67" s="4">
        <v>7</v>
      </c>
      <c r="G67" s="4">
        <v>5000</v>
      </c>
      <c r="H67" s="4">
        <v>35000</v>
      </c>
      <c r="I67" s="4">
        <v>22871.78</v>
      </c>
      <c r="J67" s="4">
        <v>12128.22</v>
      </c>
      <c r="K67" s="7" t="s">
        <v>21</v>
      </c>
    </row>
    <row r="68" spans="1:11" x14ac:dyDescent="0.25">
      <c r="A68" s="6">
        <v>1067</v>
      </c>
      <c r="B68" s="5">
        <v>45865</v>
      </c>
      <c r="C68" s="4" t="s">
        <v>19</v>
      </c>
      <c r="D68" s="4" t="s">
        <v>12</v>
      </c>
      <c r="E68" s="4" t="s">
        <v>33</v>
      </c>
      <c r="F68" s="4">
        <v>3</v>
      </c>
      <c r="G68" s="4">
        <v>2500</v>
      </c>
      <c r="H68" s="4">
        <v>7500</v>
      </c>
      <c r="I68" s="4">
        <v>5618.9</v>
      </c>
      <c r="J68" s="4">
        <v>1881.1</v>
      </c>
      <c r="K68" s="7" t="s">
        <v>18</v>
      </c>
    </row>
    <row r="69" spans="1:11" x14ac:dyDescent="0.25">
      <c r="A69" s="6">
        <v>1068</v>
      </c>
      <c r="B69" s="5">
        <v>45968</v>
      </c>
      <c r="C69" s="4" t="s">
        <v>32</v>
      </c>
      <c r="D69" s="4" t="s">
        <v>23</v>
      </c>
      <c r="E69" s="4" t="s">
        <v>24</v>
      </c>
      <c r="F69" s="4">
        <v>4</v>
      </c>
      <c r="G69" s="4">
        <v>1200</v>
      </c>
      <c r="H69" s="4">
        <v>4800</v>
      </c>
      <c r="I69" s="4">
        <v>3960.07</v>
      </c>
      <c r="J69" s="4">
        <v>839.93</v>
      </c>
      <c r="K69" s="7" t="s">
        <v>21</v>
      </c>
    </row>
    <row r="70" spans="1:11" x14ac:dyDescent="0.25">
      <c r="A70" s="6">
        <v>1069</v>
      </c>
      <c r="B70" s="5">
        <v>45744</v>
      </c>
      <c r="C70" s="4" t="s">
        <v>15</v>
      </c>
      <c r="D70" s="4" t="s">
        <v>23</v>
      </c>
      <c r="E70" s="4" t="s">
        <v>24</v>
      </c>
      <c r="F70" s="4">
        <v>4</v>
      </c>
      <c r="G70" s="4">
        <v>2500</v>
      </c>
      <c r="H70" s="4">
        <v>10000</v>
      </c>
      <c r="I70" s="4">
        <v>7156.15</v>
      </c>
      <c r="J70" s="4">
        <v>2843.85</v>
      </c>
      <c r="K70" s="7" t="s">
        <v>27</v>
      </c>
    </row>
    <row r="71" spans="1:11" x14ac:dyDescent="0.25">
      <c r="A71" s="6">
        <v>1070</v>
      </c>
      <c r="B71" s="5">
        <v>45778</v>
      </c>
      <c r="C71" s="4" t="s">
        <v>32</v>
      </c>
      <c r="D71" s="4" t="s">
        <v>12</v>
      </c>
      <c r="E71" s="4" t="s">
        <v>31</v>
      </c>
      <c r="F71" s="4">
        <v>10</v>
      </c>
      <c r="G71" s="4">
        <v>500</v>
      </c>
      <c r="H71" s="4">
        <v>5000</v>
      </c>
      <c r="I71" s="4">
        <v>2913.43</v>
      </c>
      <c r="J71" s="4">
        <v>2086.5700000000002</v>
      </c>
      <c r="K71" s="7" t="s">
        <v>28</v>
      </c>
    </row>
    <row r="72" spans="1:11" x14ac:dyDescent="0.25">
      <c r="A72" s="6">
        <v>1071</v>
      </c>
      <c r="B72" s="5">
        <v>45901</v>
      </c>
      <c r="C72" s="4" t="s">
        <v>19</v>
      </c>
      <c r="D72" s="4" t="s">
        <v>16</v>
      </c>
      <c r="E72" s="4" t="s">
        <v>20</v>
      </c>
      <c r="F72" s="4">
        <v>1</v>
      </c>
      <c r="G72" s="4">
        <v>150</v>
      </c>
      <c r="H72" s="4">
        <v>150</v>
      </c>
      <c r="I72" s="4">
        <v>95.35</v>
      </c>
      <c r="J72" s="4">
        <v>54.65</v>
      </c>
      <c r="K72" s="7" t="s">
        <v>18</v>
      </c>
    </row>
    <row r="73" spans="1:11" x14ac:dyDescent="0.25">
      <c r="A73" s="6">
        <v>1072</v>
      </c>
      <c r="B73" s="5">
        <v>45854</v>
      </c>
      <c r="C73" s="4" t="s">
        <v>30</v>
      </c>
      <c r="D73" s="4" t="s">
        <v>23</v>
      </c>
      <c r="E73" s="4" t="s">
        <v>24</v>
      </c>
      <c r="F73" s="4">
        <v>10</v>
      </c>
      <c r="G73" s="4">
        <v>250</v>
      </c>
      <c r="H73" s="4">
        <v>2500</v>
      </c>
      <c r="I73" s="4">
        <v>2003.55</v>
      </c>
      <c r="J73" s="4">
        <v>496.45</v>
      </c>
      <c r="K73" s="7" t="s">
        <v>21</v>
      </c>
    </row>
    <row r="74" spans="1:11" x14ac:dyDescent="0.25">
      <c r="A74" s="6">
        <v>1073</v>
      </c>
      <c r="B74" s="5">
        <v>45712</v>
      </c>
      <c r="C74" s="4" t="s">
        <v>30</v>
      </c>
      <c r="D74" s="4" t="s">
        <v>16</v>
      </c>
      <c r="E74" s="4" t="s">
        <v>20</v>
      </c>
      <c r="F74" s="4">
        <v>1</v>
      </c>
      <c r="G74" s="4">
        <v>12000</v>
      </c>
      <c r="H74" s="4">
        <v>12000</v>
      </c>
      <c r="I74" s="4">
        <v>10213.85</v>
      </c>
      <c r="J74" s="4">
        <v>1786.15</v>
      </c>
      <c r="K74" s="7" t="s">
        <v>28</v>
      </c>
    </row>
    <row r="75" spans="1:11" x14ac:dyDescent="0.25">
      <c r="A75" s="6">
        <v>1074</v>
      </c>
      <c r="B75" s="5">
        <v>45785</v>
      </c>
      <c r="C75" s="4" t="s">
        <v>15</v>
      </c>
      <c r="D75" s="4" t="s">
        <v>16</v>
      </c>
      <c r="E75" s="4" t="s">
        <v>17</v>
      </c>
      <c r="F75" s="4">
        <v>9</v>
      </c>
      <c r="G75" s="4">
        <v>1200</v>
      </c>
      <c r="H75" s="4">
        <v>10800</v>
      </c>
      <c r="I75" s="4">
        <v>6129.83</v>
      </c>
      <c r="J75" s="4">
        <v>4670.17</v>
      </c>
      <c r="K75" s="7" t="s">
        <v>21</v>
      </c>
    </row>
    <row r="76" spans="1:11" x14ac:dyDescent="0.25">
      <c r="A76" s="6">
        <v>1075</v>
      </c>
      <c r="B76" s="5">
        <v>45884</v>
      </c>
      <c r="C76" s="4" t="s">
        <v>19</v>
      </c>
      <c r="D76" s="4" t="s">
        <v>16</v>
      </c>
      <c r="E76" s="4" t="s">
        <v>22</v>
      </c>
      <c r="F76" s="4">
        <v>9</v>
      </c>
      <c r="G76" s="4">
        <v>2500</v>
      </c>
      <c r="H76" s="4">
        <v>22500</v>
      </c>
      <c r="I76" s="4">
        <v>17064.189999999999</v>
      </c>
      <c r="J76" s="4">
        <v>5435.81</v>
      </c>
      <c r="K76" s="7" t="s">
        <v>14</v>
      </c>
    </row>
    <row r="77" spans="1:11" x14ac:dyDescent="0.25">
      <c r="A77" s="6">
        <v>1076</v>
      </c>
      <c r="B77" s="5">
        <v>45901</v>
      </c>
      <c r="C77" s="4" t="s">
        <v>30</v>
      </c>
      <c r="D77" s="4" t="s">
        <v>12</v>
      </c>
      <c r="E77" s="4" t="s">
        <v>33</v>
      </c>
      <c r="F77" s="4">
        <v>9</v>
      </c>
      <c r="G77" s="4">
        <v>1200</v>
      </c>
      <c r="H77" s="4">
        <v>10800</v>
      </c>
      <c r="I77" s="4">
        <v>9331.4500000000007</v>
      </c>
      <c r="J77" s="4">
        <v>1468.55</v>
      </c>
      <c r="K77" s="7" t="s">
        <v>27</v>
      </c>
    </row>
    <row r="78" spans="1:11" x14ac:dyDescent="0.25">
      <c r="A78" s="6">
        <v>1077</v>
      </c>
      <c r="B78" s="5">
        <v>45906</v>
      </c>
      <c r="C78" s="4" t="s">
        <v>11</v>
      </c>
      <c r="D78" s="4" t="s">
        <v>16</v>
      </c>
      <c r="E78" s="4" t="s">
        <v>17</v>
      </c>
      <c r="F78" s="4">
        <v>5</v>
      </c>
      <c r="G78" s="4">
        <v>12000</v>
      </c>
      <c r="H78" s="4">
        <v>60000</v>
      </c>
      <c r="I78" s="4">
        <v>49331.17</v>
      </c>
      <c r="J78" s="4">
        <v>10668.83</v>
      </c>
      <c r="K78" s="7" t="s">
        <v>27</v>
      </c>
    </row>
    <row r="79" spans="1:11" x14ac:dyDescent="0.25">
      <c r="A79" s="6">
        <v>1078</v>
      </c>
      <c r="B79" s="5">
        <v>45821</v>
      </c>
      <c r="C79" s="4" t="s">
        <v>19</v>
      </c>
      <c r="D79" s="4" t="s">
        <v>23</v>
      </c>
      <c r="E79" s="4" t="s">
        <v>25</v>
      </c>
      <c r="F79" s="4">
        <v>5</v>
      </c>
      <c r="G79" s="4">
        <v>250</v>
      </c>
      <c r="H79" s="4">
        <v>1250</v>
      </c>
      <c r="I79" s="4">
        <v>806.38</v>
      </c>
      <c r="J79" s="4">
        <v>443.62</v>
      </c>
      <c r="K79" s="7" t="s">
        <v>18</v>
      </c>
    </row>
    <row r="80" spans="1:11" x14ac:dyDescent="0.25">
      <c r="A80" s="6">
        <v>1079</v>
      </c>
      <c r="B80" s="5">
        <v>46019</v>
      </c>
      <c r="C80" s="4" t="s">
        <v>11</v>
      </c>
      <c r="D80" s="4" t="s">
        <v>16</v>
      </c>
      <c r="E80" s="4" t="s">
        <v>20</v>
      </c>
      <c r="F80" s="4">
        <v>4</v>
      </c>
      <c r="G80" s="4">
        <v>1200</v>
      </c>
      <c r="H80" s="4">
        <v>4800</v>
      </c>
      <c r="I80" s="4">
        <v>3805.84</v>
      </c>
      <c r="J80" s="4">
        <v>994.16</v>
      </c>
      <c r="K80" s="7" t="s">
        <v>18</v>
      </c>
    </row>
    <row r="81" spans="1:11" x14ac:dyDescent="0.25">
      <c r="A81" s="6">
        <v>1080</v>
      </c>
      <c r="B81" s="5">
        <v>45689</v>
      </c>
      <c r="C81" s="4" t="s">
        <v>11</v>
      </c>
      <c r="D81" s="4" t="s">
        <v>23</v>
      </c>
      <c r="E81" s="4" t="s">
        <v>24</v>
      </c>
      <c r="F81" s="4">
        <v>6</v>
      </c>
      <c r="G81" s="4">
        <v>2500</v>
      </c>
      <c r="H81" s="4">
        <v>15000</v>
      </c>
      <c r="I81" s="4">
        <v>10696.1</v>
      </c>
      <c r="J81" s="4">
        <v>4303.8999999999996</v>
      </c>
      <c r="K81" s="7" t="s">
        <v>21</v>
      </c>
    </row>
    <row r="82" spans="1:11" x14ac:dyDescent="0.25">
      <c r="A82" s="6">
        <v>1081</v>
      </c>
      <c r="B82" s="5">
        <v>45952</v>
      </c>
      <c r="C82" s="4" t="s">
        <v>30</v>
      </c>
      <c r="D82" s="4" t="s">
        <v>23</v>
      </c>
      <c r="E82" s="4" t="s">
        <v>26</v>
      </c>
      <c r="F82" s="4">
        <v>1</v>
      </c>
      <c r="G82" s="4">
        <v>12000</v>
      </c>
      <c r="H82" s="4">
        <v>12000</v>
      </c>
      <c r="I82" s="4">
        <v>10298.76</v>
      </c>
      <c r="J82" s="4">
        <v>1701.24</v>
      </c>
      <c r="K82" s="7" t="s">
        <v>21</v>
      </c>
    </row>
    <row r="83" spans="1:11" x14ac:dyDescent="0.25">
      <c r="A83" s="6">
        <v>1082</v>
      </c>
      <c r="B83" s="5">
        <v>45872</v>
      </c>
      <c r="C83" s="4" t="s">
        <v>19</v>
      </c>
      <c r="D83" s="4" t="s">
        <v>16</v>
      </c>
      <c r="E83" s="4" t="s">
        <v>22</v>
      </c>
      <c r="F83" s="4">
        <v>5</v>
      </c>
      <c r="G83" s="4">
        <v>12000</v>
      </c>
      <c r="H83" s="4">
        <v>60000</v>
      </c>
      <c r="I83" s="4">
        <v>41189.72</v>
      </c>
      <c r="J83" s="4">
        <v>18810.28</v>
      </c>
      <c r="K83" s="7" t="s">
        <v>14</v>
      </c>
    </row>
    <row r="84" spans="1:11" x14ac:dyDescent="0.25">
      <c r="A84" s="6">
        <v>1083</v>
      </c>
      <c r="B84" s="5">
        <v>45797</v>
      </c>
      <c r="C84" s="4" t="s">
        <v>30</v>
      </c>
      <c r="D84" s="4" t="s">
        <v>12</v>
      </c>
      <c r="E84" s="4" t="s">
        <v>31</v>
      </c>
      <c r="F84" s="4">
        <v>10</v>
      </c>
      <c r="G84" s="4">
        <v>250</v>
      </c>
      <c r="H84" s="4">
        <v>2500</v>
      </c>
      <c r="I84" s="4">
        <v>1802.2</v>
      </c>
      <c r="J84" s="4">
        <v>697.8</v>
      </c>
      <c r="K84" s="7" t="s">
        <v>21</v>
      </c>
    </row>
    <row r="85" spans="1:11" x14ac:dyDescent="0.25">
      <c r="A85" s="6">
        <v>1084</v>
      </c>
      <c r="B85" s="5">
        <v>45865</v>
      </c>
      <c r="C85" s="4" t="s">
        <v>11</v>
      </c>
      <c r="D85" s="4" t="s">
        <v>16</v>
      </c>
      <c r="E85" s="4" t="s">
        <v>22</v>
      </c>
      <c r="F85" s="4">
        <v>6</v>
      </c>
      <c r="G85" s="4">
        <v>5000</v>
      </c>
      <c r="H85" s="4">
        <v>30000</v>
      </c>
      <c r="I85" s="4">
        <v>23630.99</v>
      </c>
      <c r="J85" s="4">
        <v>6369.01</v>
      </c>
      <c r="K85" s="7" t="s">
        <v>21</v>
      </c>
    </row>
    <row r="86" spans="1:11" x14ac:dyDescent="0.25">
      <c r="A86" s="6">
        <v>1085</v>
      </c>
      <c r="B86" s="5">
        <v>45961</v>
      </c>
      <c r="C86" s="4" t="s">
        <v>19</v>
      </c>
      <c r="D86" s="4" t="s">
        <v>16</v>
      </c>
      <c r="E86" s="4" t="s">
        <v>17</v>
      </c>
      <c r="F86" s="4">
        <v>9</v>
      </c>
      <c r="G86" s="4">
        <v>150</v>
      </c>
      <c r="H86" s="4">
        <v>1350</v>
      </c>
      <c r="I86" s="4">
        <v>1171.02</v>
      </c>
      <c r="J86" s="4">
        <v>178.98</v>
      </c>
      <c r="K86" s="7" t="s">
        <v>14</v>
      </c>
    </row>
    <row r="87" spans="1:11" x14ac:dyDescent="0.25">
      <c r="A87" s="6">
        <v>1086</v>
      </c>
      <c r="B87" s="5">
        <v>45751</v>
      </c>
      <c r="C87" s="4" t="s">
        <v>15</v>
      </c>
      <c r="D87" s="4" t="s">
        <v>16</v>
      </c>
      <c r="E87" s="4" t="s">
        <v>20</v>
      </c>
      <c r="F87" s="4">
        <v>7</v>
      </c>
      <c r="G87" s="4">
        <v>250</v>
      </c>
      <c r="H87" s="4">
        <v>1750</v>
      </c>
      <c r="I87" s="4">
        <v>1493.45</v>
      </c>
      <c r="J87" s="4">
        <v>256.55</v>
      </c>
      <c r="K87" s="7" t="s">
        <v>27</v>
      </c>
    </row>
    <row r="88" spans="1:11" x14ac:dyDescent="0.25">
      <c r="A88" s="6">
        <v>1087</v>
      </c>
      <c r="B88" s="5">
        <v>45852</v>
      </c>
      <c r="C88" s="4" t="s">
        <v>32</v>
      </c>
      <c r="D88" s="4" t="s">
        <v>23</v>
      </c>
      <c r="E88" s="4" t="s">
        <v>24</v>
      </c>
      <c r="F88" s="4">
        <v>4</v>
      </c>
      <c r="G88" s="4">
        <v>1200</v>
      </c>
      <c r="H88" s="4">
        <v>4800</v>
      </c>
      <c r="I88" s="4">
        <v>3189.1</v>
      </c>
      <c r="J88" s="4">
        <v>1610.9</v>
      </c>
      <c r="K88" s="7" t="s">
        <v>21</v>
      </c>
    </row>
    <row r="89" spans="1:11" x14ac:dyDescent="0.25">
      <c r="A89" s="6">
        <v>1088</v>
      </c>
      <c r="B89" s="5">
        <v>45684</v>
      </c>
      <c r="C89" s="4" t="s">
        <v>32</v>
      </c>
      <c r="D89" s="4" t="s">
        <v>23</v>
      </c>
      <c r="E89" s="4" t="s">
        <v>25</v>
      </c>
      <c r="F89" s="4">
        <v>8</v>
      </c>
      <c r="G89" s="4">
        <v>150</v>
      </c>
      <c r="H89" s="4">
        <v>1200</v>
      </c>
      <c r="I89" s="4">
        <v>974.59</v>
      </c>
      <c r="J89" s="4">
        <v>225.41</v>
      </c>
      <c r="K89" s="7" t="s">
        <v>28</v>
      </c>
    </row>
    <row r="90" spans="1:11" x14ac:dyDescent="0.25">
      <c r="A90" s="6">
        <v>1089</v>
      </c>
      <c r="B90" s="5">
        <v>45784</v>
      </c>
      <c r="C90" s="4" t="s">
        <v>11</v>
      </c>
      <c r="D90" s="4" t="s">
        <v>12</v>
      </c>
      <c r="E90" s="4" t="s">
        <v>13</v>
      </c>
      <c r="F90" s="4">
        <v>1</v>
      </c>
      <c r="G90" s="4">
        <v>12000</v>
      </c>
      <c r="H90" s="4">
        <v>12000</v>
      </c>
      <c r="I90" s="4">
        <v>6730.33</v>
      </c>
      <c r="J90" s="4">
        <v>5269.67</v>
      </c>
      <c r="K90" s="7" t="s">
        <v>18</v>
      </c>
    </row>
    <row r="91" spans="1:11" x14ac:dyDescent="0.25">
      <c r="A91" s="6">
        <v>1090</v>
      </c>
      <c r="B91" s="5">
        <v>45716</v>
      </c>
      <c r="C91" s="4" t="s">
        <v>19</v>
      </c>
      <c r="D91" s="4" t="s">
        <v>12</v>
      </c>
      <c r="E91" s="4" t="s">
        <v>13</v>
      </c>
      <c r="F91" s="4">
        <v>4</v>
      </c>
      <c r="G91" s="4">
        <v>250</v>
      </c>
      <c r="H91" s="4">
        <v>1000</v>
      </c>
      <c r="I91" s="4">
        <v>715.75</v>
      </c>
      <c r="J91" s="4">
        <v>284.25</v>
      </c>
      <c r="K91" s="7" t="s">
        <v>28</v>
      </c>
    </row>
    <row r="92" spans="1:11" x14ac:dyDescent="0.25">
      <c r="A92" s="6">
        <v>1091</v>
      </c>
      <c r="B92" s="5">
        <v>45968</v>
      </c>
      <c r="C92" s="4" t="s">
        <v>19</v>
      </c>
      <c r="D92" s="4" t="s">
        <v>23</v>
      </c>
      <c r="E92" s="4" t="s">
        <v>26</v>
      </c>
      <c r="F92" s="4">
        <v>5</v>
      </c>
      <c r="G92" s="4">
        <v>12000</v>
      </c>
      <c r="H92" s="4">
        <v>60000</v>
      </c>
      <c r="I92" s="4">
        <v>40746.800000000003</v>
      </c>
      <c r="J92" s="4">
        <v>19253.2</v>
      </c>
      <c r="K92" s="7" t="s">
        <v>14</v>
      </c>
    </row>
    <row r="93" spans="1:11" x14ac:dyDescent="0.25">
      <c r="A93" s="6">
        <v>1092</v>
      </c>
      <c r="B93" s="5">
        <v>45671</v>
      </c>
      <c r="C93" s="4" t="s">
        <v>32</v>
      </c>
      <c r="D93" s="4" t="s">
        <v>12</v>
      </c>
      <c r="E93" s="4" t="s">
        <v>13</v>
      </c>
      <c r="F93" s="4">
        <v>3</v>
      </c>
      <c r="G93" s="4">
        <v>500</v>
      </c>
      <c r="H93" s="4">
        <v>1500</v>
      </c>
      <c r="I93" s="4">
        <v>881.75</v>
      </c>
      <c r="J93" s="4">
        <v>618.25</v>
      </c>
      <c r="K93" s="7" t="s">
        <v>29</v>
      </c>
    </row>
    <row r="94" spans="1:11" x14ac:dyDescent="0.25">
      <c r="A94" s="6">
        <v>1093</v>
      </c>
      <c r="B94" s="5">
        <v>45961</v>
      </c>
      <c r="C94" s="4" t="s">
        <v>11</v>
      </c>
      <c r="D94" s="4" t="s">
        <v>12</v>
      </c>
      <c r="E94" s="4" t="s">
        <v>33</v>
      </c>
      <c r="F94" s="4">
        <v>7</v>
      </c>
      <c r="G94" s="4">
        <v>5000</v>
      </c>
      <c r="H94" s="4">
        <v>35000</v>
      </c>
      <c r="I94" s="4">
        <v>21679.54</v>
      </c>
      <c r="J94" s="4">
        <v>13320.46</v>
      </c>
      <c r="K94" s="7" t="s">
        <v>18</v>
      </c>
    </row>
    <row r="95" spans="1:11" x14ac:dyDescent="0.25">
      <c r="A95" s="6">
        <v>1094</v>
      </c>
      <c r="B95" s="5">
        <v>45947</v>
      </c>
      <c r="C95" s="4" t="s">
        <v>15</v>
      </c>
      <c r="D95" s="4" t="s">
        <v>12</v>
      </c>
      <c r="E95" s="4" t="s">
        <v>33</v>
      </c>
      <c r="F95" s="4">
        <v>10</v>
      </c>
      <c r="G95" s="4">
        <v>12000</v>
      </c>
      <c r="H95" s="4">
        <v>120000</v>
      </c>
      <c r="I95" s="4">
        <v>71084.31</v>
      </c>
      <c r="J95" s="4">
        <v>48915.69</v>
      </c>
      <c r="K95" s="7" t="s">
        <v>27</v>
      </c>
    </row>
    <row r="96" spans="1:11" x14ac:dyDescent="0.25">
      <c r="A96" s="6">
        <v>1095</v>
      </c>
      <c r="B96" s="5">
        <v>45832</v>
      </c>
      <c r="C96" s="4" t="s">
        <v>15</v>
      </c>
      <c r="D96" s="4" t="s">
        <v>12</v>
      </c>
      <c r="E96" s="4" t="s">
        <v>33</v>
      </c>
      <c r="F96" s="4">
        <v>6</v>
      </c>
      <c r="G96" s="4">
        <v>150</v>
      </c>
      <c r="H96" s="4">
        <v>900</v>
      </c>
      <c r="I96" s="4">
        <v>654.38</v>
      </c>
      <c r="J96" s="4">
        <v>245.62</v>
      </c>
      <c r="K96" s="7" t="s">
        <v>21</v>
      </c>
    </row>
    <row r="97" spans="1:11" x14ac:dyDescent="0.25">
      <c r="A97" s="6">
        <v>1096</v>
      </c>
      <c r="B97" s="5">
        <v>45893</v>
      </c>
      <c r="C97" s="4" t="s">
        <v>11</v>
      </c>
      <c r="D97" s="4" t="s">
        <v>23</v>
      </c>
      <c r="E97" s="4" t="s">
        <v>25</v>
      </c>
      <c r="F97" s="4">
        <v>7</v>
      </c>
      <c r="G97" s="4">
        <v>500</v>
      </c>
      <c r="H97" s="4">
        <v>3500</v>
      </c>
      <c r="I97" s="4">
        <v>2703.59</v>
      </c>
      <c r="J97" s="4">
        <v>796.41</v>
      </c>
      <c r="K97" s="7" t="s">
        <v>21</v>
      </c>
    </row>
    <row r="98" spans="1:11" x14ac:dyDescent="0.25">
      <c r="A98" s="6">
        <v>1097</v>
      </c>
      <c r="B98" s="5">
        <v>45933</v>
      </c>
      <c r="C98" s="4" t="s">
        <v>30</v>
      </c>
      <c r="D98" s="4" t="s">
        <v>16</v>
      </c>
      <c r="E98" s="4" t="s">
        <v>17</v>
      </c>
      <c r="F98" s="4">
        <v>9</v>
      </c>
      <c r="G98" s="4">
        <v>5000</v>
      </c>
      <c r="H98" s="4">
        <v>45000</v>
      </c>
      <c r="I98" s="4">
        <v>29003.8</v>
      </c>
      <c r="J98" s="4">
        <v>15996.2</v>
      </c>
      <c r="K98" s="7" t="s">
        <v>21</v>
      </c>
    </row>
    <row r="99" spans="1:11" x14ac:dyDescent="0.25">
      <c r="A99" s="6">
        <v>1098</v>
      </c>
      <c r="B99" s="5">
        <v>45783</v>
      </c>
      <c r="C99" s="4" t="s">
        <v>15</v>
      </c>
      <c r="D99" s="4" t="s">
        <v>23</v>
      </c>
      <c r="E99" s="4" t="s">
        <v>26</v>
      </c>
      <c r="F99" s="4">
        <v>10</v>
      </c>
      <c r="G99" s="4">
        <v>500</v>
      </c>
      <c r="H99" s="4">
        <v>5000</v>
      </c>
      <c r="I99" s="4">
        <v>3314.03</v>
      </c>
      <c r="J99" s="4">
        <v>1685.97</v>
      </c>
      <c r="K99" s="7" t="s">
        <v>27</v>
      </c>
    </row>
    <row r="100" spans="1:11" x14ac:dyDescent="0.25">
      <c r="A100" s="6">
        <v>1099</v>
      </c>
      <c r="B100" s="5">
        <v>45852</v>
      </c>
      <c r="C100" s="4" t="s">
        <v>32</v>
      </c>
      <c r="D100" s="4" t="s">
        <v>23</v>
      </c>
      <c r="E100" s="4" t="s">
        <v>25</v>
      </c>
      <c r="F100" s="4">
        <v>8</v>
      </c>
      <c r="G100" s="4">
        <v>2500</v>
      </c>
      <c r="H100" s="4">
        <v>20000</v>
      </c>
      <c r="I100" s="4">
        <v>15272.32</v>
      </c>
      <c r="J100" s="4">
        <v>4727.68</v>
      </c>
      <c r="K100" s="7" t="s">
        <v>18</v>
      </c>
    </row>
    <row r="101" spans="1:11" x14ac:dyDescent="0.25">
      <c r="A101" s="6">
        <v>1100</v>
      </c>
      <c r="B101" s="5">
        <v>45790</v>
      </c>
      <c r="C101" s="4" t="s">
        <v>32</v>
      </c>
      <c r="D101" s="4" t="s">
        <v>23</v>
      </c>
      <c r="E101" s="4" t="s">
        <v>24</v>
      </c>
      <c r="F101" s="4">
        <v>3</v>
      </c>
      <c r="G101" s="4">
        <v>1200</v>
      </c>
      <c r="H101" s="4">
        <v>3600</v>
      </c>
      <c r="I101" s="4">
        <v>2247.27</v>
      </c>
      <c r="J101" s="4">
        <v>1352.73</v>
      </c>
      <c r="K101" s="7" t="s">
        <v>27</v>
      </c>
    </row>
    <row r="102" spans="1:11" x14ac:dyDescent="0.25">
      <c r="A102" s="6">
        <v>1101</v>
      </c>
      <c r="B102" s="5">
        <v>45755</v>
      </c>
      <c r="C102" s="4" t="s">
        <v>15</v>
      </c>
      <c r="D102" s="4" t="s">
        <v>12</v>
      </c>
      <c r="E102" s="4" t="s">
        <v>31</v>
      </c>
      <c r="F102" s="4">
        <v>5</v>
      </c>
      <c r="G102" s="4">
        <v>2500</v>
      </c>
      <c r="H102" s="4">
        <v>12500</v>
      </c>
      <c r="I102" s="4">
        <v>6919.41</v>
      </c>
      <c r="J102" s="4">
        <v>5580.59</v>
      </c>
      <c r="K102" s="7" t="s">
        <v>28</v>
      </c>
    </row>
    <row r="103" spans="1:11" x14ac:dyDescent="0.25">
      <c r="A103" s="6">
        <v>1102</v>
      </c>
      <c r="B103" s="5">
        <v>46011</v>
      </c>
      <c r="C103" s="4" t="s">
        <v>30</v>
      </c>
      <c r="D103" s="4" t="s">
        <v>12</v>
      </c>
      <c r="E103" s="4" t="s">
        <v>33</v>
      </c>
      <c r="F103" s="4">
        <v>8</v>
      </c>
      <c r="G103" s="4">
        <v>2500</v>
      </c>
      <c r="H103" s="4">
        <v>20000</v>
      </c>
      <c r="I103" s="4">
        <v>16307.15</v>
      </c>
      <c r="J103" s="4">
        <v>3692.85</v>
      </c>
      <c r="K103" s="7" t="s">
        <v>14</v>
      </c>
    </row>
    <row r="104" spans="1:11" x14ac:dyDescent="0.25">
      <c r="A104" s="6">
        <v>1103</v>
      </c>
      <c r="B104" s="5">
        <v>45808</v>
      </c>
      <c r="C104" s="4" t="s">
        <v>11</v>
      </c>
      <c r="D104" s="4" t="s">
        <v>12</v>
      </c>
      <c r="E104" s="4" t="s">
        <v>33</v>
      </c>
      <c r="F104" s="4">
        <v>8</v>
      </c>
      <c r="G104" s="4">
        <v>12000</v>
      </c>
      <c r="H104" s="4">
        <v>96000</v>
      </c>
      <c r="I104" s="4">
        <v>53379.37</v>
      </c>
      <c r="J104" s="4">
        <v>42620.63</v>
      </c>
      <c r="K104" s="7" t="s">
        <v>21</v>
      </c>
    </row>
    <row r="105" spans="1:11" x14ac:dyDescent="0.25">
      <c r="A105" s="6">
        <v>1104</v>
      </c>
      <c r="B105" s="5">
        <v>45900</v>
      </c>
      <c r="C105" s="4" t="s">
        <v>19</v>
      </c>
      <c r="D105" s="4" t="s">
        <v>12</v>
      </c>
      <c r="E105" s="4" t="s">
        <v>13</v>
      </c>
      <c r="F105" s="4">
        <v>5</v>
      </c>
      <c r="G105" s="4">
        <v>5000</v>
      </c>
      <c r="H105" s="4">
        <v>25000</v>
      </c>
      <c r="I105" s="4">
        <v>18838.61</v>
      </c>
      <c r="J105" s="4">
        <v>6161.39</v>
      </c>
      <c r="K105" s="7" t="s">
        <v>29</v>
      </c>
    </row>
    <row r="106" spans="1:11" x14ac:dyDescent="0.25">
      <c r="A106" s="6">
        <v>1105</v>
      </c>
      <c r="B106" s="5">
        <v>45890</v>
      </c>
      <c r="C106" s="4" t="s">
        <v>32</v>
      </c>
      <c r="D106" s="4" t="s">
        <v>23</v>
      </c>
      <c r="E106" s="4" t="s">
        <v>24</v>
      </c>
      <c r="F106" s="4">
        <v>9</v>
      </c>
      <c r="G106" s="4">
        <v>500</v>
      </c>
      <c r="H106" s="4">
        <v>4500</v>
      </c>
      <c r="I106" s="4">
        <v>3029.1</v>
      </c>
      <c r="J106" s="4">
        <v>1470.9</v>
      </c>
      <c r="K106" s="7" t="s">
        <v>27</v>
      </c>
    </row>
    <row r="107" spans="1:11" x14ac:dyDescent="0.25">
      <c r="A107" s="6">
        <v>1106</v>
      </c>
      <c r="B107" s="5">
        <v>45719</v>
      </c>
      <c r="C107" s="4" t="s">
        <v>19</v>
      </c>
      <c r="D107" s="4" t="s">
        <v>23</v>
      </c>
      <c r="E107" s="4" t="s">
        <v>25</v>
      </c>
      <c r="F107" s="4">
        <v>2</v>
      </c>
      <c r="G107" s="4">
        <v>5000</v>
      </c>
      <c r="H107" s="4">
        <v>10000</v>
      </c>
      <c r="I107" s="4">
        <v>6174.05</v>
      </c>
      <c r="J107" s="4">
        <v>3825.95</v>
      </c>
      <c r="K107" s="7" t="s">
        <v>14</v>
      </c>
    </row>
    <row r="108" spans="1:11" x14ac:dyDescent="0.25">
      <c r="A108" s="6">
        <v>1107</v>
      </c>
      <c r="B108" s="5">
        <v>45959</v>
      </c>
      <c r="C108" s="4" t="s">
        <v>19</v>
      </c>
      <c r="D108" s="4" t="s">
        <v>16</v>
      </c>
      <c r="E108" s="4" t="s">
        <v>20</v>
      </c>
      <c r="F108" s="4">
        <v>4</v>
      </c>
      <c r="G108" s="4">
        <v>5000</v>
      </c>
      <c r="H108" s="4">
        <v>20000</v>
      </c>
      <c r="I108" s="4">
        <v>14389.39</v>
      </c>
      <c r="J108" s="4">
        <v>5610.61</v>
      </c>
      <c r="K108" s="7" t="s">
        <v>29</v>
      </c>
    </row>
    <row r="109" spans="1:11" x14ac:dyDescent="0.25">
      <c r="A109" s="6">
        <v>1108</v>
      </c>
      <c r="B109" s="5">
        <v>45749</v>
      </c>
      <c r="C109" s="4" t="s">
        <v>32</v>
      </c>
      <c r="D109" s="4" t="s">
        <v>23</v>
      </c>
      <c r="E109" s="4" t="s">
        <v>25</v>
      </c>
      <c r="F109" s="4">
        <v>4</v>
      </c>
      <c r="G109" s="4">
        <v>500</v>
      </c>
      <c r="H109" s="4">
        <v>2000</v>
      </c>
      <c r="I109" s="4">
        <v>1259.24</v>
      </c>
      <c r="J109" s="4">
        <v>740.76</v>
      </c>
      <c r="K109" s="7" t="s">
        <v>18</v>
      </c>
    </row>
    <row r="110" spans="1:11" x14ac:dyDescent="0.25">
      <c r="A110" s="6">
        <v>1109</v>
      </c>
      <c r="B110" s="5">
        <v>45685</v>
      </c>
      <c r="C110" s="4" t="s">
        <v>19</v>
      </c>
      <c r="D110" s="4" t="s">
        <v>12</v>
      </c>
      <c r="E110" s="4" t="s">
        <v>31</v>
      </c>
      <c r="F110" s="4">
        <v>3</v>
      </c>
      <c r="G110" s="4">
        <v>500</v>
      </c>
      <c r="H110" s="4">
        <v>1500</v>
      </c>
      <c r="I110" s="4">
        <v>848.9</v>
      </c>
      <c r="J110" s="4">
        <v>651.1</v>
      </c>
      <c r="K110" s="7" t="s">
        <v>27</v>
      </c>
    </row>
    <row r="111" spans="1:11" x14ac:dyDescent="0.25">
      <c r="A111" s="6">
        <v>1110</v>
      </c>
      <c r="B111" s="5">
        <v>45951</v>
      </c>
      <c r="C111" s="4" t="s">
        <v>32</v>
      </c>
      <c r="D111" s="4" t="s">
        <v>12</v>
      </c>
      <c r="E111" s="4" t="s">
        <v>13</v>
      </c>
      <c r="F111" s="4">
        <v>8</v>
      </c>
      <c r="G111" s="4">
        <v>150</v>
      </c>
      <c r="H111" s="4">
        <v>1200</v>
      </c>
      <c r="I111" s="4">
        <v>1026.54</v>
      </c>
      <c r="J111" s="4">
        <v>173.46</v>
      </c>
      <c r="K111" s="7" t="s">
        <v>21</v>
      </c>
    </row>
    <row r="112" spans="1:11" x14ac:dyDescent="0.25">
      <c r="A112" s="6">
        <v>1111</v>
      </c>
      <c r="B112" s="5">
        <v>45787</v>
      </c>
      <c r="C112" s="4" t="s">
        <v>30</v>
      </c>
      <c r="D112" s="4" t="s">
        <v>23</v>
      </c>
      <c r="E112" s="4" t="s">
        <v>24</v>
      </c>
      <c r="F112" s="4">
        <v>6</v>
      </c>
      <c r="G112" s="4">
        <v>250</v>
      </c>
      <c r="H112" s="4">
        <v>1500</v>
      </c>
      <c r="I112" s="4">
        <v>1331.89</v>
      </c>
      <c r="J112" s="4">
        <v>168.11</v>
      </c>
      <c r="K112" s="7" t="s">
        <v>18</v>
      </c>
    </row>
    <row r="113" spans="1:11" x14ac:dyDescent="0.25">
      <c r="A113" s="6">
        <v>1112</v>
      </c>
      <c r="B113" s="5">
        <v>46009</v>
      </c>
      <c r="C113" s="4" t="s">
        <v>15</v>
      </c>
      <c r="D113" s="4" t="s">
        <v>16</v>
      </c>
      <c r="E113" s="4" t="s">
        <v>22</v>
      </c>
      <c r="F113" s="4">
        <v>8</v>
      </c>
      <c r="G113" s="4">
        <v>150</v>
      </c>
      <c r="H113" s="4">
        <v>1200</v>
      </c>
      <c r="I113" s="4">
        <v>902.35</v>
      </c>
      <c r="J113" s="4">
        <v>297.64999999999998</v>
      </c>
      <c r="K113" s="7" t="s">
        <v>28</v>
      </c>
    </row>
    <row r="114" spans="1:11" x14ac:dyDescent="0.25">
      <c r="A114" s="6">
        <v>1113</v>
      </c>
      <c r="B114" s="5">
        <v>45718</v>
      </c>
      <c r="C114" s="4" t="s">
        <v>19</v>
      </c>
      <c r="D114" s="4" t="s">
        <v>16</v>
      </c>
      <c r="E114" s="4" t="s">
        <v>17</v>
      </c>
      <c r="F114" s="4">
        <v>5</v>
      </c>
      <c r="G114" s="4">
        <v>150</v>
      </c>
      <c r="H114" s="4">
        <v>750</v>
      </c>
      <c r="I114" s="4">
        <v>673.4</v>
      </c>
      <c r="J114" s="4">
        <v>76.599999999999994</v>
      </c>
      <c r="K114" s="7" t="s">
        <v>21</v>
      </c>
    </row>
    <row r="115" spans="1:11" x14ac:dyDescent="0.25">
      <c r="A115" s="6">
        <v>1114</v>
      </c>
      <c r="B115" s="5">
        <v>45852</v>
      </c>
      <c r="C115" s="4" t="s">
        <v>30</v>
      </c>
      <c r="D115" s="4" t="s">
        <v>12</v>
      </c>
      <c r="E115" s="4" t="s">
        <v>31</v>
      </c>
      <c r="F115" s="4">
        <v>10</v>
      </c>
      <c r="G115" s="4">
        <v>250</v>
      </c>
      <c r="H115" s="4">
        <v>2500</v>
      </c>
      <c r="I115" s="4">
        <v>2053.73</v>
      </c>
      <c r="J115" s="4">
        <v>446.27</v>
      </c>
      <c r="K115" s="7" t="s">
        <v>21</v>
      </c>
    </row>
    <row r="116" spans="1:11" x14ac:dyDescent="0.25">
      <c r="A116" s="6">
        <v>1115</v>
      </c>
      <c r="B116" s="5">
        <v>45688</v>
      </c>
      <c r="C116" s="4" t="s">
        <v>19</v>
      </c>
      <c r="D116" s="4" t="s">
        <v>23</v>
      </c>
      <c r="E116" s="4" t="s">
        <v>26</v>
      </c>
      <c r="F116" s="4">
        <v>7</v>
      </c>
      <c r="G116" s="4">
        <v>500</v>
      </c>
      <c r="H116" s="4">
        <v>3500</v>
      </c>
      <c r="I116" s="4">
        <v>2621.57</v>
      </c>
      <c r="J116" s="4">
        <v>878.43</v>
      </c>
      <c r="K116" s="7" t="s">
        <v>14</v>
      </c>
    </row>
    <row r="117" spans="1:11" x14ac:dyDescent="0.25">
      <c r="A117" s="6">
        <v>1116</v>
      </c>
      <c r="B117" s="5">
        <v>45738</v>
      </c>
      <c r="C117" s="4" t="s">
        <v>11</v>
      </c>
      <c r="D117" s="4" t="s">
        <v>16</v>
      </c>
      <c r="E117" s="4" t="s">
        <v>20</v>
      </c>
      <c r="F117" s="4">
        <v>4</v>
      </c>
      <c r="G117" s="4">
        <v>500</v>
      </c>
      <c r="H117" s="4">
        <v>2000</v>
      </c>
      <c r="I117" s="4">
        <v>1562.3</v>
      </c>
      <c r="J117" s="4">
        <v>437.7</v>
      </c>
      <c r="K117" s="7" t="s">
        <v>28</v>
      </c>
    </row>
    <row r="118" spans="1:11" x14ac:dyDescent="0.25">
      <c r="A118" s="6">
        <v>1117</v>
      </c>
      <c r="B118" s="5">
        <v>46010</v>
      </c>
      <c r="C118" s="4" t="s">
        <v>19</v>
      </c>
      <c r="D118" s="4" t="s">
        <v>12</v>
      </c>
      <c r="E118" s="4" t="s">
        <v>13</v>
      </c>
      <c r="F118" s="4">
        <v>3</v>
      </c>
      <c r="G118" s="4">
        <v>150</v>
      </c>
      <c r="H118" s="4">
        <v>450</v>
      </c>
      <c r="I118" s="4">
        <v>311.83999999999997</v>
      </c>
      <c r="J118" s="4">
        <v>138.16</v>
      </c>
      <c r="K118" s="7" t="s">
        <v>21</v>
      </c>
    </row>
    <row r="119" spans="1:11" x14ac:dyDescent="0.25">
      <c r="A119" s="6">
        <v>1118</v>
      </c>
      <c r="B119" s="5">
        <v>46017</v>
      </c>
      <c r="C119" s="4" t="s">
        <v>30</v>
      </c>
      <c r="D119" s="4" t="s">
        <v>23</v>
      </c>
      <c r="E119" s="4" t="s">
        <v>25</v>
      </c>
      <c r="F119" s="4">
        <v>4</v>
      </c>
      <c r="G119" s="4">
        <v>500</v>
      </c>
      <c r="H119" s="4">
        <v>2000</v>
      </c>
      <c r="I119" s="4">
        <v>1594.87</v>
      </c>
      <c r="J119" s="4">
        <v>405.13</v>
      </c>
      <c r="K119" s="7" t="s">
        <v>18</v>
      </c>
    </row>
    <row r="120" spans="1:11" x14ac:dyDescent="0.25">
      <c r="A120" s="6">
        <v>1119</v>
      </c>
      <c r="B120" s="5">
        <v>45959</v>
      </c>
      <c r="C120" s="4" t="s">
        <v>11</v>
      </c>
      <c r="D120" s="4" t="s">
        <v>12</v>
      </c>
      <c r="E120" s="4" t="s">
        <v>13</v>
      </c>
      <c r="F120" s="4">
        <v>5</v>
      </c>
      <c r="G120" s="4">
        <v>12000</v>
      </c>
      <c r="H120" s="4">
        <v>60000</v>
      </c>
      <c r="I120" s="4">
        <v>49616.2</v>
      </c>
      <c r="J120" s="4">
        <v>10383.799999999999</v>
      </c>
      <c r="K120" s="7" t="s">
        <v>21</v>
      </c>
    </row>
    <row r="121" spans="1:11" x14ac:dyDescent="0.25">
      <c r="A121" s="6">
        <v>1120</v>
      </c>
      <c r="B121" s="5">
        <v>45794</v>
      </c>
      <c r="C121" s="4" t="s">
        <v>11</v>
      </c>
      <c r="D121" s="4" t="s">
        <v>16</v>
      </c>
      <c r="E121" s="4" t="s">
        <v>17</v>
      </c>
      <c r="F121" s="4">
        <v>4</v>
      </c>
      <c r="G121" s="4">
        <v>5000</v>
      </c>
      <c r="H121" s="4">
        <v>20000</v>
      </c>
      <c r="I121" s="4">
        <v>12042.93</v>
      </c>
      <c r="J121" s="4">
        <v>7957.07</v>
      </c>
      <c r="K121" s="7" t="s">
        <v>18</v>
      </c>
    </row>
    <row r="122" spans="1:11" x14ac:dyDescent="0.25">
      <c r="A122" s="6">
        <v>1121</v>
      </c>
      <c r="B122" s="5">
        <v>45949</v>
      </c>
      <c r="C122" s="4" t="s">
        <v>32</v>
      </c>
      <c r="D122" s="4" t="s">
        <v>16</v>
      </c>
      <c r="E122" s="4" t="s">
        <v>20</v>
      </c>
      <c r="F122" s="4">
        <v>5</v>
      </c>
      <c r="G122" s="4">
        <v>2500</v>
      </c>
      <c r="H122" s="4">
        <v>12500</v>
      </c>
      <c r="I122" s="4">
        <v>10151.69</v>
      </c>
      <c r="J122" s="4">
        <v>2348.31</v>
      </c>
      <c r="K122" s="7" t="s">
        <v>21</v>
      </c>
    </row>
    <row r="123" spans="1:11" x14ac:dyDescent="0.25">
      <c r="A123" s="6">
        <v>1122</v>
      </c>
      <c r="B123" s="5">
        <v>45797</v>
      </c>
      <c r="C123" s="4" t="s">
        <v>19</v>
      </c>
      <c r="D123" s="4" t="s">
        <v>16</v>
      </c>
      <c r="E123" s="4" t="s">
        <v>22</v>
      </c>
      <c r="F123" s="4">
        <v>5</v>
      </c>
      <c r="G123" s="4">
        <v>5000</v>
      </c>
      <c r="H123" s="4">
        <v>25000</v>
      </c>
      <c r="I123" s="4">
        <v>17271.95</v>
      </c>
      <c r="J123" s="4">
        <v>7728.05</v>
      </c>
      <c r="K123" s="7" t="s">
        <v>29</v>
      </c>
    </row>
    <row r="124" spans="1:11" x14ac:dyDescent="0.25">
      <c r="A124" s="6">
        <v>1123</v>
      </c>
      <c r="B124" s="5">
        <v>45879</v>
      </c>
      <c r="C124" s="4" t="s">
        <v>32</v>
      </c>
      <c r="D124" s="4" t="s">
        <v>23</v>
      </c>
      <c r="E124" s="4" t="s">
        <v>24</v>
      </c>
      <c r="F124" s="4">
        <v>2</v>
      </c>
      <c r="G124" s="4">
        <v>2500</v>
      </c>
      <c r="H124" s="4">
        <v>5000</v>
      </c>
      <c r="I124" s="4">
        <v>2819.76</v>
      </c>
      <c r="J124" s="4">
        <v>2180.2399999999998</v>
      </c>
      <c r="K124" s="7" t="s">
        <v>29</v>
      </c>
    </row>
    <row r="125" spans="1:11" x14ac:dyDescent="0.25">
      <c r="A125" s="6">
        <v>1124</v>
      </c>
      <c r="B125" s="5">
        <v>45952</v>
      </c>
      <c r="C125" s="4" t="s">
        <v>19</v>
      </c>
      <c r="D125" s="4" t="s">
        <v>23</v>
      </c>
      <c r="E125" s="4" t="s">
        <v>25</v>
      </c>
      <c r="F125" s="4">
        <v>2</v>
      </c>
      <c r="G125" s="4">
        <v>250</v>
      </c>
      <c r="H125" s="4">
        <v>500</v>
      </c>
      <c r="I125" s="4">
        <v>443.33</v>
      </c>
      <c r="J125" s="4">
        <v>56.67</v>
      </c>
      <c r="K125" s="7" t="s">
        <v>18</v>
      </c>
    </row>
    <row r="126" spans="1:11" x14ac:dyDescent="0.25">
      <c r="A126" s="6">
        <v>1125</v>
      </c>
      <c r="B126" s="5">
        <v>45747</v>
      </c>
      <c r="C126" s="4" t="s">
        <v>30</v>
      </c>
      <c r="D126" s="4" t="s">
        <v>12</v>
      </c>
      <c r="E126" s="4" t="s">
        <v>33</v>
      </c>
      <c r="F126" s="4">
        <v>10</v>
      </c>
      <c r="G126" s="4">
        <v>150</v>
      </c>
      <c r="H126" s="4">
        <v>1500</v>
      </c>
      <c r="I126" s="4">
        <v>1225.6300000000001</v>
      </c>
      <c r="J126" s="4">
        <v>274.37</v>
      </c>
      <c r="K126" s="7" t="s">
        <v>29</v>
      </c>
    </row>
    <row r="127" spans="1:11" x14ac:dyDescent="0.25">
      <c r="A127" s="6">
        <v>1126</v>
      </c>
      <c r="B127" s="5">
        <v>45881</v>
      </c>
      <c r="C127" s="4" t="s">
        <v>30</v>
      </c>
      <c r="D127" s="4" t="s">
        <v>12</v>
      </c>
      <c r="E127" s="4" t="s">
        <v>33</v>
      </c>
      <c r="F127" s="4">
        <v>5</v>
      </c>
      <c r="G127" s="4">
        <v>250</v>
      </c>
      <c r="H127" s="4">
        <v>1250</v>
      </c>
      <c r="I127" s="4">
        <v>1123.6600000000001</v>
      </c>
      <c r="J127" s="4">
        <v>126.34</v>
      </c>
      <c r="K127" s="7" t="s">
        <v>18</v>
      </c>
    </row>
    <row r="128" spans="1:11" x14ac:dyDescent="0.25">
      <c r="A128" s="6">
        <v>1127</v>
      </c>
      <c r="B128" s="5">
        <v>45711</v>
      </c>
      <c r="C128" s="4" t="s">
        <v>11</v>
      </c>
      <c r="D128" s="4" t="s">
        <v>23</v>
      </c>
      <c r="E128" s="4" t="s">
        <v>24</v>
      </c>
      <c r="F128" s="4">
        <v>7</v>
      </c>
      <c r="G128" s="4">
        <v>500</v>
      </c>
      <c r="H128" s="4">
        <v>3500</v>
      </c>
      <c r="I128" s="4">
        <v>2318.3000000000002</v>
      </c>
      <c r="J128" s="4">
        <v>1181.7</v>
      </c>
      <c r="K128" s="7" t="s">
        <v>27</v>
      </c>
    </row>
    <row r="129" spans="1:11" x14ac:dyDescent="0.25">
      <c r="A129" s="6">
        <v>1128</v>
      </c>
      <c r="B129" s="5">
        <v>45863</v>
      </c>
      <c r="C129" s="4" t="s">
        <v>19</v>
      </c>
      <c r="D129" s="4" t="s">
        <v>23</v>
      </c>
      <c r="E129" s="4" t="s">
        <v>26</v>
      </c>
      <c r="F129" s="4">
        <v>8</v>
      </c>
      <c r="G129" s="4">
        <v>500</v>
      </c>
      <c r="H129" s="4">
        <v>4000</v>
      </c>
      <c r="I129" s="4">
        <v>3127.62</v>
      </c>
      <c r="J129" s="4">
        <v>872.38</v>
      </c>
      <c r="K129" s="7" t="s">
        <v>18</v>
      </c>
    </row>
    <row r="130" spans="1:11" x14ac:dyDescent="0.25">
      <c r="A130" s="6">
        <v>1129</v>
      </c>
      <c r="B130" s="5">
        <v>45864</v>
      </c>
      <c r="C130" s="4" t="s">
        <v>19</v>
      </c>
      <c r="D130" s="4" t="s">
        <v>23</v>
      </c>
      <c r="E130" s="4" t="s">
        <v>25</v>
      </c>
      <c r="F130" s="4">
        <v>6</v>
      </c>
      <c r="G130" s="4">
        <v>500</v>
      </c>
      <c r="H130" s="4">
        <v>3000</v>
      </c>
      <c r="I130" s="4">
        <v>1989.44</v>
      </c>
      <c r="J130" s="4">
        <v>1010.56</v>
      </c>
      <c r="K130" s="7" t="s">
        <v>18</v>
      </c>
    </row>
    <row r="131" spans="1:11" x14ac:dyDescent="0.25">
      <c r="A131" s="6">
        <v>1130</v>
      </c>
      <c r="B131" s="5">
        <v>45923</v>
      </c>
      <c r="C131" s="4" t="s">
        <v>32</v>
      </c>
      <c r="D131" s="4" t="s">
        <v>12</v>
      </c>
      <c r="E131" s="4" t="s">
        <v>31</v>
      </c>
      <c r="F131" s="4">
        <v>8</v>
      </c>
      <c r="G131" s="4">
        <v>1200</v>
      </c>
      <c r="H131" s="4">
        <v>9600</v>
      </c>
      <c r="I131" s="4">
        <v>5462.13</v>
      </c>
      <c r="J131" s="4">
        <v>4137.87</v>
      </c>
      <c r="K131" s="7" t="s">
        <v>29</v>
      </c>
    </row>
    <row r="132" spans="1:11" x14ac:dyDescent="0.25">
      <c r="A132" s="6">
        <v>1131</v>
      </c>
      <c r="B132" s="5">
        <v>45794</v>
      </c>
      <c r="C132" s="4" t="s">
        <v>19</v>
      </c>
      <c r="D132" s="4" t="s">
        <v>23</v>
      </c>
      <c r="E132" s="4" t="s">
        <v>26</v>
      </c>
      <c r="F132" s="4">
        <v>8</v>
      </c>
      <c r="G132" s="4">
        <v>12000</v>
      </c>
      <c r="H132" s="4">
        <v>96000</v>
      </c>
      <c r="I132" s="4">
        <v>54534.16</v>
      </c>
      <c r="J132" s="4">
        <v>41465.839999999997</v>
      </c>
      <c r="K132" s="7" t="s">
        <v>28</v>
      </c>
    </row>
    <row r="133" spans="1:11" x14ac:dyDescent="0.25">
      <c r="A133" s="6">
        <v>1132</v>
      </c>
      <c r="B133" s="5">
        <v>45980</v>
      </c>
      <c r="C133" s="4" t="s">
        <v>19</v>
      </c>
      <c r="D133" s="4" t="s">
        <v>23</v>
      </c>
      <c r="E133" s="4" t="s">
        <v>24</v>
      </c>
      <c r="F133" s="4">
        <v>8</v>
      </c>
      <c r="G133" s="4">
        <v>150</v>
      </c>
      <c r="H133" s="4">
        <v>1200</v>
      </c>
      <c r="I133" s="4">
        <v>672.13</v>
      </c>
      <c r="J133" s="4">
        <v>527.87</v>
      </c>
      <c r="K133" s="7" t="s">
        <v>28</v>
      </c>
    </row>
    <row r="134" spans="1:11" x14ac:dyDescent="0.25">
      <c r="A134" s="6">
        <v>1133</v>
      </c>
      <c r="B134" s="5">
        <v>45866</v>
      </c>
      <c r="C134" s="4" t="s">
        <v>15</v>
      </c>
      <c r="D134" s="4" t="s">
        <v>12</v>
      </c>
      <c r="E134" s="4" t="s">
        <v>13</v>
      </c>
      <c r="F134" s="4">
        <v>5</v>
      </c>
      <c r="G134" s="4">
        <v>2500</v>
      </c>
      <c r="H134" s="4">
        <v>12500</v>
      </c>
      <c r="I134" s="4">
        <v>6934.83</v>
      </c>
      <c r="J134" s="4">
        <v>5565.17</v>
      </c>
      <c r="K134" s="7" t="s">
        <v>28</v>
      </c>
    </row>
    <row r="135" spans="1:11" x14ac:dyDescent="0.25">
      <c r="A135" s="6">
        <v>1134</v>
      </c>
      <c r="B135" s="5">
        <v>45913</v>
      </c>
      <c r="C135" s="4" t="s">
        <v>32</v>
      </c>
      <c r="D135" s="4" t="s">
        <v>16</v>
      </c>
      <c r="E135" s="4" t="s">
        <v>22</v>
      </c>
      <c r="F135" s="4">
        <v>2</v>
      </c>
      <c r="G135" s="4">
        <v>5000</v>
      </c>
      <c r="H135" s="4">
        <v>10000</v>
      </c>
      <c r="I135" s="4">
        <v>8412.5</v>
      </c>
      <c r="J135" s="4">
        <v>1587.5</v>
      </c>
      <c r="K135" s="7" t="s">
        <v>29</v>
      </c>
    </row>
    <row r="136" spans="1:11" x14ac:dyDescent="0.25">
      <c r="A136" s="6">
        <v>1135</v>
      </c>
      <c r="B136" s="5">
        <v>45899</v>
      </c>
      <c r="C136" s="4" t="s">
        <v>11</v>
      </c>
      <c r="D136" s="4" t="s">
        <v>12</v>
      </c>
      <c r="E136" s="4" t="s">
        <v>33</v>
      </c>
      <c r="F136" s="4">
        <v>7</v>
      </c>
      <c r="G136" s="4">
        <v>12000</v>
      </c>
      <c r="H136" s="4">
        <v>84000</v>
      </c>
      <c r="I136" s="4">
        <v>60385.49</v>
      </c>
      <c r="J136" s="4">
        <v>23614.51</v>
      </c>
      <c r="K136" s="7" t="s">
        <v>21</v>
      </c>
    </row>
    <row r="137" spans="1:11" x14ac:dyDescent="0.25">
      <c r="A137" s="6">
        <v>1136</v>
      </c>
      <c r="B137" s="5">
        <v>45918</v>
      </c>
      <c r="C137" s="4" t="s">
        <v>11</v>
      </c>
      <c r="D137" s="4" t="s">
        <v>12</v>
      </c>
      <c r="E137" s="4" t="s">
        <v>13</v>
      </c>
      <c r="F137" s="4">
        <v>7</v>
      </c>
      <c r="G137" s="4">
        <v>250</v>
      </c>
      <c r="H137" s="4">
        <v>1750</v>
      </c>
      <c r="I137" s="4">
        <v>1527.14</v>
      </c>
      <c r="J137" s="4">
        <v>222.86</v>
      </c>
      <c r="K137" s="7" t="s">
        <v>18</v>
      </c>
    </row>
    <row r="138" spans="1:11" x14ac:dyDescent="0.25">
      <c r="A138" s="6">
        <v>1137</v>
      </c>
      <c r="B138" s="5">
        <v>45659</v>
      </c>
      <c r="C138" s="4" t="s">
        <v>32</v>
      </c>
      <c r="D138" s="4" t="s">
        <v>23</v>
      </c>
      <c r="E138" s="4" t="s">
        <v>24</v>
      </c>
      <c r="F138" s="4">
        <v>6</v>
      </c>
      <c r="G138" s="4">
        <v>12000</v>
      </c>
      <c r="H138" s="4">
        <v>72000</v>
      </c>
      <c r="I138" s="4">
        <v>52394.99</v>
      </c>
      <c r="J138" s="4">
        <v>19605.009999999998</v>
      </c>
      <c r="K138" s="7" t="s">
        <v>14</v>
      </c>
    </row>
    <row r="139" spans="1:11" x14ac:dyDescent="0.25">
      <c r="A139" s="6">
        <v>1138</v>
      </c>
      <c r="B139" s="5">
        <v>45734</v>
      </c>
      <c r="C139" s="4" t="s">
        <v>30</v>
      </c>
      <c r="D139" s="4" t="s">
        <v>23</v>
      </c>
      <c r="E139" s="4" t="s">
        <v>26</v>
      </c>
      <c r="F139" s="4">
        <v>10</v>
      </c>
      <c r="G139" s="4">
        <v>5000</v>
      </c>
      <c r="H139" s="4">
        <v>50000</v>
      </c>
      <c r="I139" s="4">
        <v>36068.71</v>
      </c>
      <c r="J139" s="4">
        <v>13931.29</v>
      </c>
      <c r="K139" s="7" t="s">
        <v>29</v>
      </c>
    </row>
    <row r="140" spans="1:11" x14ac:dyDescent="0.25">
      <c r="A140" s="6">
        <v>1139</v>
      </c>
      <c r="B140" s="5">
        <v>45851</v>
      </c>
      <c r="C140" s="4" t="s">
        <v>30</v>
      </c>
      <c r="D140" s="4" t="s">
        <v>23</v>
      </c>
      <c r="E140" s="4" t="s">
        <v>24</v>
      </c>
      <c r="F140" s="4">
        <v>6</v>
      </c>
      <c r="G140" s="4">
        <v>2500</v>
      </c>
      <c r="H140" s="4">
        <v>15000</v>
      </c>
      <c r="I140" s="4">
        <v>12255.08</v>
      </c>
      <c r="J140" s="4">
        <v>2744.92</v>
      </c>
      <c r="K140" s="7" t="s">
        <v>27</v>
      </c>
    </row>
    <row r="141" spans="1:11" x14ac:dyDescent="0.25">
      <c r="A141" s="6">
        <v>1140</v>
      </c>
      <c r="B141" s="5">
        <v>45868</v>
      </c>
      <c r="C141" s="4" t="s">
        <v>15</v>
      </c>
      <c r="D141" s="4" t="s">
        <v>16</v>
      </c>
      <c r="E141" s="4" t="s">
        <v>17</v>
      </c>
      <c r="F141" s="4">
        <v>4</v>
      </c>
      <c r="G141" s="4">
        <v>2500</v>
      </c>
      <c r="H141" s="4">
        <v>10000</v>
      </c>
      <c r="I141" s="4">
        <v>6840.4</v>
      </c>
      <c r="J141" s="4">
        <v>3159.6</v>
      </c>
      <c r="K141" s="7" t="s">
        <v>27</v>
      </c>
    </row>
    <row r="142" spans="1:11" x14ac:dyDescent="0.25">
      <c r="A142" s="6">
        <v>1141</v>
      </c>
      <c r="B142" s="5">
        <v>45991</v>
      </c>
      <c r="C142" s="4" t="s">
        <v>11</v>
      </c>
      <c r="D142" s="4" t="s">
        <v>12</v>
      </c>
      <c r="E142" s="4" t="s">
        <v>33</v>
      </c>
      <c r="F142" s="4">
        <v>7</v>
      </c>
      <c r="G142" s="4">
        <v>1200</v>
      </c>
      <c r="H142" s="4">
        <v>8400</v>
      </c>
      <c r="I142" s="4">
        <v>7525.94</v>
      </c>
      <c r="J142" s="4">
        <v>874.06</v>
      </c>
      <c r="K142" s="7" t="s">
        <v>21</v>
      </c>
    </row>
    <row r="143" spans="1:11" x14ac:dyDescent="0.25">
      <c r="A143" s="6">
        <v>1142</v>
      </c>
      <c r="B143" s="5">
        <v>45709</v>
      </c>
      <c r="C143" s="4" t="s">
        <v>30</v>
      </c>
      <c r="D143" s="4" t="s">
        <v>16</v>
      </c>
      <c r="E143" s="4" t="s">
        <v>20</v>
      </c>
      <c r="F143" s="4">
        <v>9</v>
      </c>
      <c r="G143" s="4">
        <v>2500</v>
      </c>
      <c r="H143" s="4">
        <v>22500</v>
      </c>
      <c r="I143" s="4">
        <v>14989.46</v>
      </c>
      <c r="J143" s="4">
        <v>7510.54</v>
      </c>
      <c r="K143" s="7" t="s">
        <v>18</v>
      </c>
    </row>
    <row r="144" spans="1:11" x14ac:dyDescent="0.25">
      <c r="A144" s="6">
        <v>1143</v>
      </c>
      <c r="B144" s="5">
        <v>45993</v>
      </c>
      <c r="C144" s="4" t="s">
        <v>11</v>
      </c>
      <c r="D144" s="4" t="s">
        <v>12</v>
      </c>
      <c r="E144" s="4" t="s">
        <v>33</v>
      </c>
      <c r="F144" s="4">
        <v>1</v>
      </c>
      <c r="G144" s="4">
        <v>5000</v>
      </c>
      <c r="H144" s="4">
        <v>5000</v>
      </c>
      <c r="I144" s="4">
        <v>3002.27</v>
      </c>
      <c r="J144" s="4">
        <v>1997.73</v>
      </c>
      <c r="K144" s="7" t="s">
        <v>18</v>
      </c>
    </row>
    <row r="145" spans="1:11" x14ac:dyDescent="0.25">
      <c r="A145" s="6">
        <v>1144</v>
      </c>
      <c r="B145" s="5">
        <v>45990</v>
      </c>
      <c r="C145" s="4" t="s">
        <v>15</v>
      </c>
      <c r="D145" s="4" t="s">
        <v>23</v>
      </c>
      <c r="E145" s="4" t="s">
        <v>24</v>
      </c>
      <c r="F145" s="4">
        <v>6</v>
      </c>
      <c r="G145" s="4">
        <v>2500</v>
      </c>
      <c r="H145" s="4">
        <v>15000</v>
      </c>
      <c r="I145" s="4">
        <v>11886.7</v>
      </c>
      <c r="J145" s="4">
        <v>3113.3</v>
      </c>
      <c r="K145" s="7" t="s">
        <v>27</v>
      </c>
    </row>
    <row r="146" spans="1:11" x14ac:dyDescent="0.25">
      <c r="A146" s="6">
        <v>1145</v>
      </c>
      <c r="B146" s="5">
        <v>45907</v>
      </c>
      <c r="C146" s="4" t="s">
        <v>19</v>
      </c>
      <c r="D146" s="4" t="s">
        <v>12</v>
      </c>
      <c r="E146" s="4" t="s">
        <v>31</v>
      </c>
      <c r="F146" s="4">
        <v>7</v>
      </c>
      <c r="G146" s="4">
        <v>500</v>
      </c>
      <c r="H146" s="4">
        <v>3500</v>
      </c>
      <c r="I146" s="4">
        <v>2692.83</v>
      </c>
      <c r="J146" s="4">
        <v>807.17</v>
      </c>
      <c r="K146" s="7" t="s">
        <v>18</v>
      </c>
    </row>
    <row r="147" spans="1:11" x14ac:dyDescent="0.25">
      <c r="A147" s="6">
        <v>1146</v>
      </c>
      <c r="B147" s="5">
        <v>45805</v>
      </c>
      <c r="C147" s="4" t="s">
        <v>11</v>
      </c>
      <c r="D147" s="4" t="s">
        <v>12</v>
      </c>
      <c r="E147" s="4" t="s">
        <v>13</v>
      </c>
      <c r="F147" s="4">
        <v>4</v>
      </c>
      <c r="G147" s="4">
        <v>5000</v>
      </c>
      <c r="H147" s="4">
        <v>20000</v>
      </c>
      <c r="I147" s="4">
        <v>15790.8</v>
      </c>
      <c r="J147" s="4">
        <v>4209.2</v>
      </c>
      <c r="K147" s="7" t="s">
        <v>14</v>
      </c>
    </row>
    <row r="148" spans="1:11" x14ac:dyDescent="0.25">
      <c r="A148" s="6">
        <v>1147</v>
      </c>
      <c r="B148" s="5">
        <v>45709</v>
      </c>
      <c r="C148" s="4" t="s">
        <v>30</v>
      </c>
      <c r="D148" s="4" t="s">
        <v>16</v>
      </c>
      <c r="E148" s="4" t="s">
        <v>22</v>
      </c>
      <c r="F148" s="4">
        <v>2</v>
      </c>
      <c r="G148" s="4">
        <v>12000</v>
      </c>
      <c r="H148" s="4">
        <v>24000</v>
      </c>
      <c r="I148" s="4">
        <v>18523.48</v>
      </c>
      <c r="J148" s="4">
        <v>5476.52</v>
      </c>
      <c r="K148" s="7" t="s">
        <v>28</v>
      </c>
    </row>
    <row r="149" spans="1:11" x14ac:dyDescent="0.25">
      <c r="A149" s="6">
        <v>1148</v>
      </c>
      <c r="B149" s="5">
        <v>45686</v>
      </c>
      <c r="C149" s="4" t="s">
        <v>32</v>
      </c>
      <c r="D149" s="4" t="s">
        <v>12</v>
      </c>
      <c r="E149" s="4" t="s">
        <v>33</v>
      </c>
      <c r="F149" s="4">
        <v>1</v>
      </c>
      <c r="G149" s="4">
        <v>150</v>
      </c>
      <c r="H149" s="4">
        <v>150</v>
      </c>
      <c r="I149" s="4">
        <v>99.53</v>
      </c>
      <c r="J149" s="4">
        <v>50.47</v>
      </c>
      <c r="K149" s="7" t="s">
        <v>27</v>
      </c>
    </row>
    <row r="150" spans="1:11" x14ac:dyDescent="0.25">
      <c r="A150" s="6">
        <v>1149</v>
      </c>
      <c r="B150" s="5">
        <v>45947</v>
      </c>
      <c r="C150" s="4" t="s">
        <v>11</v>
      </c>
      <c r="D150" s="4" t="s">
        <v>23</v>
      </c>
      <c r="E150" s="4" t="s">
        <v>24</v>
      </c>
      <c r="F150" s="4">
        <v>3</v>
      </c>
      <c r="G150" s="4">
        <v>250</v>
      </c>
      <c r="H150" s="4">
        <v>750</v>
      </c>
      <c r="I150" s="4">
        <v>551.92999999999995</v>
      </c>
      <c r="J150" s="4">
        <v>198.07</v>
      </c>
      <c r="K150" s="7" t="s">
        <v>28</v>
      </c>
    </row>
    <row r="151" spans="1:11" x14ac:dyDescent="0.25">
      <c r="A151" s="6">
        <v>1150</v>
      </c>
      <c r="B151" s="5">
        <v>46007</v>
      </c>
      <c r="C151" s="4" t="s">
        <v>11</v>
      </c>
      <c r="D151" s="4" t="s">
        <v>16</v>
      </c>
      <c r="E151" s="4" t="s">
        <v>20</v>
      </c>
      <c r="F151" s="4">
        <v>10</v>
      </c>
      <c r="G151" s="4">
        <v>12000</v>
      </c>
      <c r="H151" s="4">
        <v>120000</v>
      </c>
      <c r="I151" s="4">
        <v>82066.86</v>
      </c>
      <c r="J151" s="4">
        <v>37933.14</v>
      </c>
      <c r="K151" s="7" t="s">
        <v>21</v>
      </c>
    </row>
    <row r="152" spans="1:11" x14ac:dyDescent="0.25">
      <c r="A152" s="6">
        <v>1151</v>
      </c>
      <c r="B152" s="5">
        <v>45893</v>
      </c>
      <c r="C152" s="4" t="s">
        <v>32</v>
      </c>
      <c r="D152" s="4" t="s">
        <v>12</v>
      </c>
      <c r="E152" s="4" t="s">
        <v>13</v>
      </c>
      <c r="F152" s="4">
        <v>4</v>
      </c>
      <c r="G152" s="4">
        <v>1200</v>
      </c>
      <c r="H152" s="4">
        <v>4800</v>
      </c>
      <c r="I152" s="4">
        <v>3711.68</v>
      </c>
      <c r="J152" s="4">
        <v>1088.32</v>
      </c>
      <c r="K152" s="7" t="s">
        <v>14</v>
      </c>
    </row>
    <row r="153" spans="1:11" x14ac:dyDescent="0.25">
      <c r="A153" s="6">
        <v>1152</v>
      </c>
      <c r="B153" s="5">
        <v>45695</v>
      </c>
      <c r="C153" s="4" t="s">
        <v>30</v>
      </c>
      <c r="D153" s="4" t="s">
        <v>16</v>
      </c>
      <c r="E153" s="4" t="s">
        <v>22</v>
      </c>
      <c r="F153" s="4">
        <v>5</v>
      </c>
      <c r="G153" s="4">
        <v>5000</v>
      </c>
      <c r="H153" s="4">
        <v>25000</v>
      </c>
      <c r="I153" s="4">
        <v>18532.73</v>
      </c>
      <c r="J153" s="4">
        <v>6467.27</v>
      </c>
      <c r="K153" s="7" t="s">
        <v>27</v>
      </c>
    </row>
    <row r="154" spans="1:11" x14ac:dyDescent="0.25">
      <c r="A154" s="6">
        <v>1153</v>
      </c>
      <c r="B154" s="5">
        <v>45812</v>
      </c>
      <c r="C154" s="4" t="s">
        <v>11</v>
      </c>
      <c r="D154" s="4" t="s">
        <v>12</v>
      </c>
      <c r="E154" s="4" t="s">
        <v>33</v>
      </c>
      <c r="F154" s="4">
        <v>7</v>
      </c>
      <c r="G154" s="4">
        <v>5000</v>
      </c>
      <c r="H154" s="4">
        <v>35000</v>
      </c>
      <c r="I154" s="4">
        <v>22313.7</v>
      </c>
      <c r="J154" s="4">
        <v>12686.3</v>
      </c>
      <c r="K154" s="7" t="s">
        <v>21</v>
      </c>
    </row>
    <row r="155" spans="1:11" x14ac:dyDescent="0.25">
      <c r="A155" s="6">
        <v>1154</v>
      </c>
      <c r="B155" s="5">
        <v>45952</v>
      </c>
      <c r="C155" s="4" t="s">
        <v>32</v>
      </c>
      <c r="D155" s="4" t="s">
        <v>23</v>
      </c>
      <c r="E155" s="4" t="s">
        <v>25</v>
      </c>
      <c r="F155" s="4">
        <v>4</v>
      </c>
      <c r="G155" s="4">
        <v>1200</v>
      </c>
      <c r="H155" s="4">
        <v>4800</v>
      </c>
      <c r="I155" s="4">
        <v>3600.83</v>
      </c>
      <c r="J155" s="4">
        <v>1199.17</v>
      </c>
      <c r="K155" s="7" t="s">
        <v>14</v>
      </c>
    </row>
    <row r="156" spans="1:11" x14ac:dyDescent="0.25">
      <c r="A156" s="6">
        <v>1155</v>
      </c>
      <c r="B156" s="5">
        <v>46009</v>
      </c>
      <c r="C156" s="4" t="s">
        <v>15</v>
      </c>
      <c r="D156" s="4" t="s">
        <v>23</v>
      </c>
      <c r="E156" s="4" t="s">
        <v>25</v>
      </c>
      <c r="F156" s="4">
        <v>7</v>
      </c>
      <c r="G156" s="4">
        <v>500</v>
      </c>
      <c r="H156" s="4">
        <v>3500</v>
      </c>
      <c r="I156" s="4">
        <v>1934.92</v>
      </c>
      <c r="J156" s="4">
        <v>1565.08</v>
      </c>
      <c r="K156" s="7" t="s">
        <v>29</v>
      </c>
    </row>
    <row r="157" spans="1:11" x14ac:dyDescent="0.25">
      <c r="A157" s="6">
        <v>1156</v>
      </c>
      <c r="B157" s="5">
        <v>45968</v>
      </c>
      <c r="C157" s="4" t="s">
        <v>32</v>
      </c>
      <c r="D157" s="4" t="s">
        <v>12</v>
      </c>
      <c r="E157" s="4" t="s">
        <v>33</v>
      </c>
      <c r="F157" s="4">
        <v>5</v>
      </c>
      <c r="G157" s="4">
        <v>12000</v>
      </c>
      <c r="H157" s="4">
        <v>60000</v>
      </c>
      <c r="I157" s="4">
        <v>49776.06</v>
      </c>
      <c r="J157" s="4">
        <v>10223.94</v>
      </c>
      <c r="K157" s="7" t="s">
        <v>28</v>
      </c>
    </row>
    <row r="158" spans="1:11" x14ac:dyDescent="0.25">
      <c r="A158" s="6">
        <v>1157</v>
      </c>
      <c r="B158" s="5">
        <v>45995</v>
      </c>
      <c r="C158" s="4" t="s">
        <v>11</v>
      </c>
      <c r="D158" s="4" t="s">
        <v>12</v>
      </c>
      <c r="E158" s="4" t="s">
        <v>13</v>
      </c>
      <c r="F158" s="4">
        <v>10</v>
      </c>
      <c r="G158" s="4">
        <v>500</v>
      </c>
      <c r="H158" s="4">
        <v>5000</v>
      </c>
      <c r="I158" s="4">
        <v>3936.09</v>
      </c>
      <c r="J158" s="4">
        <v>1063.9100000000001</v>
      </c>
      <c r="K158" s="7" t="s">
        <v>14</v>
      </c>
    </row>
    <row r="159" spans="1:11" x14ac:dyDescent="0.25">
      <c r="A159" s="6">
        <v>1158</v>
      </c>
      <c r="B159" s="5">
        <v>45675</v>
      </c>
      <c r="C159" s="4" t="s">
        <v>19</v>
      </c>
      <c r="D159" s="4" t="s">
        <v>16</v>
      </c>
      <c r="E159" s="4" t="s">
        <v>17</v>
      </c>
      <c r="F159" s="4">
        <v>1</v>
      </c>
      <c r="G159" s="4">
        <v>500</v>
      </c>
      <c r="H159" s="4">
        <v>500</v>
      </c>
      <c r="I159" s="4">
        <v>413.01</v>
      </c>
      <c r="J159" s="4">
        <v>86.99</v>
      </c>
      <c r="K159" s="7" t="s">
        <v>27</v>
      </c>
    </row>
    <row r="160" spans="1:11" x14ac:dyDescent="0.25">
      <c r="A160" s="6">
        <v>1159</v>
      </c>
      <c r="B160" s="5">
        <v>45870</v>
      </c>
      <c r="C160" s="4" t="s">
        <v>11</v>
      </c>
      <c r="D160" s="4" t="s">
        <v>12</v>
      </c>
      <c r="E160" s="4" t="s">
        <v>13</v>
      </c>
      <c r="F160" s="4">
        <v>2</v>
      </c>
      <c r="G160" s="4">
        <v>500</v>
      </c>
      <c r="H160" s="4">
        <v>1000</v>
      </c>
      <c r="I160" s="4">
        <v>664.35</v>
      </c>
      <c r="J160" s="4">
        <v>335.65</v>
      </c>
      <c r="K160" s="7" t="s">
        <v>28</v>
      </c>
    </row>
    <row r="161" spans="1:11" x14ac:dyDescent="0.25">
      <c r="A161" s="6">
        <v>1160</v>
      </c>
      <c r="B161" s="5">
        <v>45797</v>
      </c>
      <c r="C161" s="4" t="s">
        <v>11</v>
      </c>
      <c r="D161" s="4" t="s">
        <v>16</v>
      </c>
      <c r="E161" s="4" t="s">
        <v>17</v>
      </c>
      <c r="F161" s="4">
        <v>6</v>
      </c>
      <c r="G161" s="4">
        <v>2500</v>
      </c>
      <c r="H161" s="4">
        <v>15000</v>
      </c>
      <c r="I161" s="4">
        <v>10884.42</v>
      </c>
      <c r="J161" s="4">
        <v>4115.58</v>
      </c>
      <c r="K161" s="7" t="s">
        <v>27</v>
      </c>
    </row>
    <row r="162" spans="1:11" x14ac:dyDescent="0.25">
      <c r="A162" s="6">
        <v>1161</v>
      </c>
      <c r="B162" s="5">
        <v>45696</v>
      </c>
      <c r="C162" s="4" t="s">
        <v>11</v>
      </c>
      <c r="D162" s="4" t="s">
        <v>23</v>
      </c>
      <c r="E162" s="4" t="s">
        <v>24</v>
      </c>
      <c r="F162" s="4">
        <v>6</v>
      </c>
      <c r="G162" s="4">
        <v>12000</v>
      </c>
      <c r="H162" s="4">
        <v>72000</v>
      </c>
      <c r="I162" s="4">
        <v>42502.28</v>
      </c>
      <c r="J162" s="4">
        <v>29497.72</v>
      </c>
      <c r="K162" s="7" t="s">
        <v>28</v>
      </c>
    </row>
    <row r="163" spans="1:11" x14ac:dyDescent="0.25">
      <c r="A163" s="6">
        <v>1162</v>
      </c>
      <c r="B163" s="5">
        <v>45845</v>
      </c>
      <c r="C163" s="4" t="s">
        <v>15</v>
      </c>
      <c r="D163" s="4" t="s">
        <v>12</v>
      </c>
      <c r="E163" s="4" t="s">
        <v>31</v>
      </c>
      <c r="F163" s="4">
        <v>7</v>
      </c>
      <c r="G163" s="4">
        <v>12000</v>
      </c>
      <c r="H163" s="4">
        <v>84000</v>
      </c>
      <c r="I163" s="4">
        <v>69854.880000000005</v>
      </c>
      <c r="J163" s="4">
        <v>14145.12</v>
      </c>
      <c r="K163" s="7" t="s">
        <v>21</v>
      </c>
    </row>
    <row r="164" spans="1:11" x14ac:dyDescent="0.25">
      <c r="A164" s="6">
        <v>1163</v>
      </c>
      <c r="B164" s="5">
        <v>46002</v>
      </c>
      <c r="C164" s="4" t="s">
        <v>32</v>
      </c>
      <c r="D164" s="4" t="s">
        <v>16</v>
      </c>
      <c r="E164" s="4" t="s">
        <v>22</v>
      </c>
      <c r="F164" s="4">
        <v>9</v>
      </c>
      <c r="G164" s="4">
        <v>150</v>
      </c>
      <c r="H164" s="4">
        <v>1350</v>
      </c>
      <c r="I164" s="4">
        <v>957.39</v>
      </c>
      <c r="J164" s="4">
        <v>392.61</v>
      </c>
      <c r="K164" s="7" t="s">
        <v>29</v>
      </c>
    </row>
    <row r="165" spans="1:11" x14ac:dyDescent="0.25">
      <c r="A165" s="6">
        <v>1164</v>
      </c>
      <c r="B165" s="5">
        <v>45899</v>
      </c>
      <c r="C165" s="4" t="s">
        <v>15</v>
      </c>
      <c r="D165" s="4" t="s">
        <v>23</v>
      </c>
      <c r="E165" s="4" t="s">
        <v>26</v>
      </c>
      <c r="F165" s="4">
        <v>6</v>
      </c>
      <c r="G165" s="4">
        <v>150</v>
      </c>
      <c r="H165" s="4">
        <v>900</v>
      </c>
      <c r="I165" s="4">
        <v>707.57</v>
      </c>
      <c r="J165" s="4">
        <v>192.43</v>
      </c>
      <c r="K165" s="7" t="s">
        <v>29</v>
      </c>
    </row>
    <row r="166" spans="1:11" x14ac:dyDescent="0.25">
      <c r="A166" s="6">
        <v>1165</v>
      </c>
      <c r="B166" s="5">
        <v>45983</v>
      </c>
      <c r="C166" s="4" t="s">
        <v>30</v>
      </c>
      <c r="D166" s="4" t="s">
        <v>12</v>
      </c>
      <c r="E166" s="4" t="s">
        <v>33</v>
      </c>
      <c r="F166" s="4">
        <v>10</v>
      </c>
      <c r="G166" s="4">
        <v>250</v>
      </c>
      <c r="H166" s="4">
        <v>2500</v>
      </c>
      <c r="I166" s="4">
        <v>1941.7</v>
      </c>
      <c r="J166" s="4">
        <v>558.29999999999995</v>
      </c>
      <c r="K166" s="7" t="s">
        <v>14</v>
      </c>
    </row>
    <row r="167" spans="1:11" x14ac:dyDescent="0.25">
      <c r="A167" s="6">
        <v>1166</v>
      </c>
      <c r="B167" s="5">
        <v>45677</v>
      </c>
      <c r="C167" s="4" t="s">
        <v>32</v>
      </c>
      <c r="D167" s="4" t="s">
        <v>23</v>
      </c>
      <c r="E167" s="4" t="s">
        <v>26</v>
      </c>
      <c r="F167" s="4">
        <v>7</v>
      </c>
      <c r="G167" s="4">
        <v>150</v>
      </c>
      <c r="H167" s="4">
        <v>1050</v>
      </c>
      <c r="I167" s="4">
        <v>628.87</v>
      </c>
      <c r="J167" s="4">
        <v>421.13</v>
      </c>
      <c r="K167" s="7" t="s">
        <v>21</v>
      </c>
    </row>
    <row r="168" spans="1:11" x14ac:dyDescent="0.25">
      <c r="A168" s="6">
        <v>1167</v>
      </c>
      <c r="B168" s="5">
        <v>45890</v>
      </c>
      <c r="C168" s="4" t="s">
        <v>32</v>
      </c>
      <c r="D168" s="4" t="s">
        <v>16</v>
      </c>
      <c r="E168" s="4" t="s">
        <v>20</v>
      </c>
      <c r="F168" s="4">
        <v>4</v>
      </c>
      <c r="G168" s="4">
        <v>2500</v>
      </c>
      <c r="H168" s="4">
        <v>10000</v>
      </c>
      <c r="I168" s="4">
        <v>5974.82</v>
      </c>
      <c r="J168" s="4">
        <v>4025.18</v>
      </c>
      <c r="K168" s="7" t="s">
        <v>14</v>
      </c>
    </row>
    <row r="169" spans="1:11" x14ac:dyDescent="0.25">
      <c r="A169" s="6">
        <v>1168</v>
      </c>
      <c r="B169" s="5">
        <v>45737</v>
      </c>
      <c r="C169" s="4" t="s">
        <v>30</v>
      </c>
      <c r="D169" s="4" t="s">
        <v>12</v>
      </c>
      <c r="E169" s="4" t="s">
        <v>31</v>
      </c>
      <c r="F169" s="4">
        <v>9</v>
      </c>
      <c r="G169" s="4">
        <v>1200</v>
      </c>
      <c r="H169" s="4">
        <v>10800</v>
      </c>
      <c r="I169" s="4">
        <v>8160.15</v>
      </c>
      <c r="J169" s="4">
        <v>2639.85</v>
      </c>
      <c r="K169" s="7" t="s">
        <v>14</v>
      </c>
    </row>
    <row r="170" spans="1:11" x14ac:dyDescent="0.25">
      <c r="A170" s="6">
        <v>1169</v>
      </c>
      <c r="B170" s="5">
        <v>45801</v>
      </c>
      <c r="C170" s="4" t="s">
        <v>15</v>
      </c>
      <c r="D170" s="4" t="s">
        <v>16</v>
      </c>
      <c r="E170" s="4" t="s">
        <v>22</v>
      </c>
      <c r="F170" s="4">
        <v>10</v>
      </c>
      <c r="G170" s="4">
        <v>1200</v>
      </c>
      <c r="H170" s="4">
        <v>12000</v>
      </c>
      <c r="I170" s="4">
        <v>10544.02</v>
      </c>
      <c r="J170" s="4">
        <v>1455.98</v>
      </c>
      <c r="K170" s="7" t="s">
        <v>14</v>
      </c>
    </row>
    <row r="171" spans="1:11" x14ac:dyDescent="0.25">
      <c r="A171" s="6">
        <v>1170</v>
      </c>
      <c r="B171" s="5">
        <v>45843</v>
      </c>
      <c r="C171" s="4" t="s">
        <v>15</v>
      </c>
      <c r="D171" s="4" t="s">
        <v>23</v>
      </c>
      <c r="E171" s="4" t="s">
        <v>25</v>
      </c>
      <c r="F171" s="4">
        <v>8</v>
      </c>
      <c r="G171" s="4">
        <v>1200</v>
      </c>
      <c r="H171" s="4">
        <v>9600</v>
      </c>
      <c r="I171" s="4">
        <v>8473.8700000000008</v>
      </c>
      <c r="J171" s="4">
        <v>1126.1300000000001</v>
      </c>
      <c r="K171" s="7" t="s">
        <v>14</v>
      </c>
    </row>
    <row r="172" spans="1:11" x14ac:dyDescent="0.25">
      <c r="A172" s="6">
        <v>1171</v>
      </c>
      <c r="B172" s="5">
        <v>45755</v>
      </c>
      <c r="C172" s="4" t="s">
        <v>15</v>
      </c>
      <c r="D172" s="4" t="s">
        <v>23</v>
      </c>
      <c r="E172" s="4" t="s">
        <v>26</v>
      </c>
      <c r="F172" s="4">
        <v>6</v>
      </c>
      <c r="G172" s="4">
        <v>150</v>
      </c>
      <c r="H172" s="4">
        <v>900</v>
      </c>
      <c r="I172" s="4">
        <v>620.41</v>
      </c>
      <c r="J172" s="4">
        <v>279.58999999999997</v>
      </c>
      <c r="K172" s="7" t="s">
        <v>21</v>
      </c>
    </row>
    <row r="173" spans="1:11" x14ac:dyDescent="0.25">
      <c r="A173" s="6">
        <v>1172</v>
      </c>
      <c r="B173" s="5">
        <v>45668</v>
      </c>
      <c r="C173" s="4" t="s">
        <v>15</v>
      </c>
      <c r="D173" s="4" t="s">
        <v>16</v>
      </c>
      <c r="E173" s="4" t="s">
        <v>17</v>
      </c>
      <c r="F173" s="4">
        <v>4</v>
      </c>
      <c r="G173" s="4">
        <v>5000</v>
      </c>
      <c r="H173" s="4">
        <v>20000</v>
      </c>
      <c r="I173" s="4">
        <v>15476.45</v>
      </c>
      <c r="J173" s="4">
        <v>4523.55</v>
      </c>
      <c r="K173" s="7" t="s">
        <v>27</v>
      </c>
    </row>
    <row r="174" spans="1:11" x14ac:dyDescent="0.25">
      <c r="A174" s="6">
        <v>1173</v>
      </c>
      <c r="B174" s="5">
        <v>45941</v>
      </c>
      <c r="C174" s="4" t="s">
        <v>11</v>
      </c>
      <c r="D174" s="4" t="s">
        <v>16</v>
      </c>
      <c r="E174" s="4" t="s">
        <v>20</v>
      </c>
      <c r="F174" s="4">
        <v>10</v>
      </c>
      <c r="G174" s="4">
        <v>250</v>
      </c>
      <c r="H174" s="4">
        <v>2500</v>
      </c>
      <c r="I174" s="4">
        <v>1435.03</v>
      </c>
      <c r="J174" s="4">
        <v>1064.97</v>
      </c>
      <c r="K174" s="7" t="s">
        <v>29</v>
      </c>
    </row>
    <row r="175" spans="1:11" x14ac:dyDescent="0.25">
      <c r="A175" s="6">
        <v>1174</v>
      </c>
      <c r="B175" s="5">
        <v>45963</v>
      </c>
      <c r="C175" s="4" t="s">
        <v>15</v>
      </c>
      <c r="D175" s="4" t="s">
        <v>16</v>
      </c>
      <c r="E175" s="4" t="s">
        <v>20</v>
      </c>
      <c r="F175" s="4">
        <v>6</v>
      </c>
      <c r="G175" s="4">
        <v>12000</v>
      </c>
      <c r="H175" s="4">
        <v>72000</v>
      </c>
      <c r="I175" s="4">
        <v>43318.37</v>
      </c>
      <c r="J175" s="4">
        <v>28681.63</v>
      </c>
      <c r="K175" s="7" t="s">
        <v>27</v>
      </c>
    </row>
    <row r="176" spans="1:11" x14ac:dyDescent="0.25">
      <c r="A176" s="6">
        <v>1175</v>
      </c>
      <c r="B176" s="5">
        <v>45714</v>
      </c>
      <c r="C176" s="4" t="s">
        <v>15</v>
      </c>
      <c r="D176" s="4" t="s">
        <v>16</v>
      </c>
      <c r="E176" s="4" t="s">
        <v>20</v>
      </c>
      <c r="F176" s="4">
        <v>9</v>
      </c>
      <c r="G176" s="4">
        <v>500</v>
      </c>
      <c r="H176" s="4">
        <v>4500</v>
      </c>
      <c r="I176" s="4">
        <v>3732.66</v>
      </c>
      <c r="J176" s="4">
        <v>767.34</v>
      </c>
      <c r="K176" s="7" t="s">
        <v>28</v>
      </c>
    </row>
    <row r="177" spans="1:11" x14ac:dyDescent="0.25">
      <c r="A177" s="6">
        <v>1176</v>
      </c>
      <c r="B177" s="5">
        <v>45747</v>
      </c>
      <c r="C177" s="4" t="s">
        <v>32</v>
      </c>
      <c r="D177" s="4" t="s">
        <v>16</v>
      </c>
      <c r="E177" s="4" t="s">
        <v>22</v>
      </c>
      <c r="F177" s="4">
        <v>4</v>
      </c>
      <c r="G177" s="4">
        <v>2500</v>
      </c>
      <c r="H177" s="4">
        <v>10000</v>
      </c>
      <c r="I177" s="4">
        <v>6633.2</v>
      </c>
      <c r="J177" s="4">
        <v>3366.8</v>
      </c>
      <c r="K177" s="7" t="s">
        <v>18</v>
      </c>
    </row>
    <row r="178" spans="1:11" x14ac:dyDescent="0.25">
      <c r="A178" s="6">
        <v>1177</v>
      </c>
      <c r="B178" s="5">
        <v>45690</v>
      </c>
      <c r="C178" s="4" t="s">
        <v>30</v>
      </c>
      <c r="D178" s="4" t="s">
        <v>16</v>
      </c>
      <c r="E178" s="4" t="s">
        <v>17</v>
      </c>
      <c r="F178" s="4">
        <v>7</v>
      </c>
      <c r="G178" s="4">
        <v>2500</v>
      </c>
      <c r="H178" s="4">
        <v>17500</v>
      </c>
      <c r="I178" s="4">
        <v>10321.1</v>
      </c>
      <c r="J178" s="4">
        <v>7178.9</v>
      </c>
      <c r="K178" s="7" t="s">
        <v>21</v>
      </c>
    </row>
    <row r="179" spans="1:11" x14ac:dyDescent="0.25">
      <c r="A179" s="6">
        <v>1178</v>
      </c>
      <c r="B179" s="5">
        <v>45771</v>
      </c>
      <c r="C179" s="4" t="s">
        <v>19</v>
      </c>
      <c r="D179" s="4" t="s">
        <v>23</v>
      </c>
      <c r="E179" s="4" t="s">
        <v>26</v>
      </c>
      <c r="F179" s="4">
        <v>10</v>
      </c>
      <c r="G179" s="4">
        <v>150</v>
      </c>
      <c r="H179" s="4">
        <v>1500</v>
      </c>
      <c r="I179" s="4">
        <v>1062.3</v>
      </c>
      <c r="J179" s="4">
        <v>437.7</v>
      </c>
      <c r="K179" s="7" t="s">
        <v>18</v>
      </c>
    </row>
    <row r="180" spans="1:11" x14ac:dyDescent="0.25">
      <c r="A180" s="6">
        <v>1179</v>
      </c>
      <c r="B180" s="5">
        <v>45673</v>
      </c>
      <c r="C180" s="4" t="s">
        <v>15</v>
      </c>
      <c r="D180" s="4" t="s">
        <v>12</v>
      </c>
      <c r="E180" s="4" t="s">
        <v>31</v>
      </c>
      <c r="F180" s="4">
        <v>9</v>
      </c>
      <c r="G180" s="4">
        <v>500</v>
      </c>
      <c r="H180" s="4">
        <v>4500</v>
      </c>
      <c r="I180" s="4">
        <v>3196.42</v>
      </c>
      <c r="J180" s="4">
        <v>1303.58</v>
      </c>
      <c r="K180" s="7" t="s">
        <v>21</v>
      </c>
    </row>
    <row r="181" spans="1:11" x14ac:dyDescent="0.25">
      <c r="A181" s="6">
        <v>1180</v>
      </c>
      <c r="B181" s="5">
        <v>45885</v>
      </c>
      <c r="C181" s="4" t="s">
        <v>15</v>
      </c>
      <c r="D181" s="4" t="s">
        <v>23</v>
      </c>
      <c r="E181" s="4" t="s">
        <v>24</v>
      </c>
      <c r="F181" s="4">
        <v>2</v>
      </c>
      <c r="G181" s="4">
        <v>1200</v>
      </c>
      <c r="H181" s="4">
        <v>2400</v>
      </c>
      <c r="I181" s="4">
        <v>1918.42</v>
      </c>
      <c r="J181" s="4">
        <v>481.58</v>
      </c>
      <c r="K181" s="7" t="s">
        <v>18</v>
      </c>
    </row>
    <row r="182" spans="1:11" x14ac:dyDescent="0.25">
      <c r="A182" s="6">
        <v>1181</v>
      </c>
      <c r="B182" s="5">
        <v>45977</v>
      </c>
      <c r="C182" s="4" t="s">
        <v>19</v>
      </c>
      <c r="D182" s="4" t="s">
        <v>23</v>
      </c>
      <c r="E182" s="4" t="s">
        <v>26</v>
      </c>
      <c r="F182" s="4">
        <v>3</v>
      </c>
      <c r="G182" s="4">
        <v>150</v>
      </c>
      <c r="H182" s="4">
        <v>450</v>
      </c>
      <c r="I182" s="4">
        <v>267.38</v>
      </c>
      <c r="J182" s="4">
        <v>182.62</v>
      </c>
      <c r="K182" s="7" t="s">
        <v>29</v>
      </c>
    </row>
    <row r="183" spans="1:11" x14ac:dyDescent="0.25">
      <c r="A183" s="6">
        <v>1182</v>
      </c>
      <c r="B183" s="5">
        <v>45890</v>
      </c>
      <c r="C183" s="4" t="s">
        <v>19</v>
      </c>
      <c r="D183" s="4" t="s">
        <v>12</v>
      </c>
      <c r="E183" s="4" t="s">
        <v>33</v>
      </c>
      <c r="F183" s="4">
        <v>7</v>
      </c>
      <c r="G183" s="4">
        <v>2500</v>
      </c>
      <c r="H183" s="4">
        <v>17500</v>
      </c>
      <c r="I183" s="4">
        <v>12874.66</v>
      </c>
      <c r="J183" s="4">
        <v>4625.34</v>
      </c>
      <c r="K183" s="7" t="s">
        <v>29</v>
      </c>
    </row>
    <row r="184" spans="1:11" x14ac:dyDescent="0.25">
      <c r="A184" s="6">
        <v>1183</v>
      </c>
      <c r="B184" s="5">
        <v>45940</v>
      </c>
      <c r="C184" s="4" t="s">
        <v>11</v>
      </c>
      <c r="D184" s="4" t="s">
        <v>23</v>
      </c>
      <c r="E184" s="4" t="s">
        <v>25</v>
      </c>
      <c r="F184" s="4">
        <v>2</v>
      </c>
      <c r="G184" s="4">
        <v>12000</v>
      </c>
      <c r="H184" s="4">
        <v>24000</v>
      </c>
      <c r="I184" s="4">
        <v>18699.59</v>
      </c>
      <c r="J184" s="4">
        <v>5300.41</v>
      </c>
      <c r="K184" s="7" t="s">
        <v>21</v>
      </c>
    </row>
    <row r="185" spans="1:11" x14ac:dyDescent="0.25">
      <c r="A185" s="6">
        <v>1184</v>
      </c>
      <c r="B185" s="5">
        <v>45862</v>
      </c>
      <c r="C185" s="4" t="s">
        <v>30</v>
      </c>
      <c r="D185" s="4" t="s">
        <v>23</v>
      </c>
      <c r="E185" s="4" t="s">
        <v>25</v>
      </c>
      <c r="F185" s="4">
        <v>7</v>
      </c>
      <c r="G185" s="4">
        <v>500</v>
      </c>
      <c r="H185" s="4">
        <v>3500</v>
      </c>
      <c r="I185" s="4">
        <v>2938.59</v>
      </c>
      <c r="J185" s="4">
        <v>561.41</v>
      </c>
      <c r="K185" s="7" t="s">
        <v>14</v>
      </c>
    </row>
    <row r="186" spans="1:11" x14ac:dyDescent="0.25">
      <c r="A186" s="6">
        <v>1185</v>
      </c>
      <c r="B186" s="5">
        <v>45849</v>
      </c>
      <c r="C186" s="4" t="s">
        <v>11</v>
      </c>
      <c r="D186" s="4" t="s">
        <v>16</v>
      </c>
      <c r="E186" s="4" t="s">
        <v>22</v>
      </c>
      <c r="F186" s="4">
        <v>7</v>
      </c>
      <c r="G186" s="4">
        <v>500</v>
      </c>
      <c r="H186" s="4">
        <v>3500</v>
      </c>
      <c r="I186" s="4">
        <v>2739.76</v>
      </c>
      <c r="J186" s="4">
        <v>760.24</v>
      </c>
      <c r="K186" s="7" t="s">
        <v>14</v>
      </c>
    </row>
    <row r="187" spans="1:11" x14ac:dyDescent="0.25">
      <c r="A187" s="6">
        <v>1186</v>
      </c>
      <c r="B187" s="5">
        <v>45879</v>
      </c>
      <c r="C187" s="4" t="s">
        <v>15</v>
      </c>
      <c r="D187" s="4" t="s">
        <v>23</v>
      </c>
      <c r="E187" s="4" t="s">
        <v>25</v>
      </c>
      <c r="F187" s="4">
        <v>2</v>
      </c>
      <c r="G187" s="4">
        <v>12000</v>
      </c>
      <c r="H187" s="4">
        <v>24000</v>
      </c>
      <c r="I187" s="4">
        <v>13917.06</v>
      </c>
      <c r="J187" s="4">
        <v>10082.94</v>
      </c>
      <c r="K187" s="7" t="s">
        <v>14</v>
      </c>
    </row>
    <row r="188" spans="1:11" x14ac:dyDescent="0.25">
      <c r="A188" s="6">
        <v>1187</v>
      </c>
      <c r="B188" s="5">
        <v>45945</v>
      </c>
      <c r="C188" s="4" t="s">
        <v>19</v>
      </c>
      <c r="D188" s="4" t="s">
        <v>12</v>
      </c>
      <c r="E188" s="4" t="s">
        <v>33</v>
      </c>
      <c r="F188" s="4">
        <v>3</v>
      </c>
      <c r="G188" s="4">
        <v>2500</v>
      </c>
      <c r="H188" s="4">
        <v>7500</v>
      </c>
      <c r="I188" s="4">
        <v>4282.45</v>
      </c>
      <c r="J188" s="4">
        <v>3217.55</v>
      </c>
      <c r="K188" s="7" t="s">
        <v>27</v>
      </c>
    </row>
    <row r="189" spans="1:11" x14ac:dyDescent="0.25">
      <c r="A189" s="6">
        <v>1188</v>
      </c>
      <c r="B189" s="5">
        <v>45874</v>
      </c>
      <c r="C189" s="4" t="s">
        <v>15</v>
      </c>
      <c r="D189" s="4" t="s">
        <v>12</v>
      </c>
      <c r="E189" s="4" t="s">
        <v>13</v>
      </c>
      <c r="F189" s="4">
        <v>7</v>
      </c>
      <c r="G189" s="4">
        <v>500</v>
      </c>
      <c r="H189" s="4">
        <v>3500</v>
      </c>
      <c r="I189" s="4">
        <v>2995.17</v>
      </c>
      <c r="J189" s="4">
        <v>504.83</v>
      </c>
      <c r="K189" s="7" t="s">
        <v>27</v>
      </c>
    </row>
    <row r="190" spans="1:11" x14ac:dyDescent="0.25">
      <c r="A190" s="6">
        <v>1189</v>
      </c>
      <c r="B190" s="5">
        <v>45766</v>
      </c>
      <c r="C190" s="4" t="s">
        <v>11</v>
      </c>
      <c r="D190" s="4" t="s">
        <v>12</v>
      </c>
      <c r="E190" s="4" t="s">
        <v>33</v>
      </c>
      <c r="F190" s="4">
        <v>6</v>
      </c>
      <c r="G190" s="4">
        <v>150</v>
      </c>
      <c r="H190" s="4">
        <v>900</v>
      </c>
      <c r="I190" s="4">
        <v>677.04</v>
      </c>
      <c r="J190" s="4">
        <v>222.96</v>
      </c>
      <c r="K190" s="7" t="s">
        <v>14</v>
      </c>
    </row>
    <row r="191" spans="1:11" x14ac:dyDescent="0.25">
      <c r="A191" s="6">
        <v>1190</v>
      </c>
      <c r="B191" s="5">
        <v>45846</v>
      </c>
      <c r="C191" s="4" t="s">
        <v>15</v>
      </c>
      <c r="D191" s="4" t="s">
        <v>23</v>
      </c>
      <c r="E191" s="4" t="s">
        <v>25</v>
      </c>
      <c r="F191" s="4">
        <v>2</v>
      </c>
      <c r="G191" s="4">
        <v>500</v>
      </c>
      <c r="H191" s="4">
        <v>1000</v>
      </c>
      <c r="I191" s="4">
        <v>845.88</v>
      </c>
      <c r="J191" s="4">
        <v>154.12</v>
      </c>
      <c r="K191" s="7" t="s">
        <v>27</v>
      </c>
    </row>
    <row r="192" spans="1:11" x14ac:dyDescent="0.25">
      <c r="A192" s="6">
        <v>1191</v>
      </c>
      <c r="B192" s="5">
        <v>45976</v>
      </c>
      <c r="C192" s="4" t="s">
        <v>19</v>
      </c>
      <c r="D192" s="4" t="s">
        <v>12</v>
      </c>
      <c r="E192" s="4" t="s">
        <v>13</v>
      </c>
      <c r="F192" s="4">
        <v>7</v>
      </c>
      <c r="G192" s="4">
        <v>12000</v>
      </c>
      <c r="H192" s="4">
        <v>84000</v>
      </c>
      <c r="I192" s="4">
        <v>62692.39</v>
      </c>
      <c r="J192" s="4">
        <v>21307.61</v>
      </c>
      <c r="K192" s="7" t="s">
        <v>14</v>
      </c>
    </row>
    <row r="193" spans="1:11" x14ac:dyDescent="0.25">
      <c r="A193" s="6">
        <v>1192</v>
      </c>
      <c r="B193" s="5">
        <v>46013</v>
      </c>
      <c r="C193" s="4" t="s">
        <v>32</v>
      </c>
      <c r="D193" s="4" t="s">
        <v>12</v>
      </c>
      <c r="E193" s="4" t="s">
        <v>31</v>
      </c>
      <c r="F193" s="4">
        <v>1</v>
      </c>
      <c r="G193" s="4">
        <v>2500</v>
      </c>
      <c r="H193" s="4">
        <v>2500</v>
      </c>
      <c r="I193" s="4">
        <v>2187.9499999999998</v>
      </c>
      <c r="J193" s="4">
        <v>312.05</v>
      </c>
      <c r="K193" s="7" t="s">
        <v>18</v>
      </c>
    </row>
    <row r="194" spans="1:11" x14ac:dyDescent="0.25">
      <c r="A194" s="6">
        <v>1193</v>
      </c>
      <c r="B194" s="5">
        <v>45750</v>
      </c>
      <c r="C194" s="4" t="s">
        <v>11</v>
      </c>
      <c r="D194" s="4" t="s">
        <v>16</v>
      </c>
      <c r="E194" s="4" t="s">
        <v>22</v>
      </c>
      <c r="F194" s="4">
        <v>5</v>
      </c>
      <c r="G194" s="4">
        <v>500</v>
      </c>
      <c r="H194" s="4">
        <v>2500</v>
      </c>
      <c r="I194" s="4">
        <v>1682.15</v>
      </c>
      <c r="J194" s="4">
        <v>817.85</v>
      </c>
      <c r="K194" s="7" t="s">
        <v>29</v>
      </c>
    </row>
    <row r="195" spans="1:11" x14ac:dyDescent="0.25">
      <c r="A195" s="6">
        <v>1194</v>
      </c>
      <c r="B195" s="5">
        <v>45673</v>
      </c>
      <c r="C195" s="4" t="s">
        <v>15</v>
      </c>
      <c r="D195" s="4" t="s">
        <v>12</v>
      </c>
      <c r="E195" s="4" t="s">
        <v>33</v>
      </c>
      <c r="F195" s="4">
        <v>2</v>
      </c>
      <c r="G195" s="4">
        <v>250</v>
      </c>
      <c r="H195" s="4">
        <v>500</v>
      </c>
      <c r="I195" s="4">
        <v>404.67</v>
      </c>
      <c r="J195" s="4">
        <v>95.33</v>
      </c>
      <c r="K195" s="7" t="s">
        <v>14</v>
      </c>
    </row>
    <row r="196" spans="1:11" x14ac:dyDescent="0.25">
      <c r="A196" s="6">
        <v>1195</v>
      </c>
      <c r="B196" s="5">
        <v>45738</v>
      </c>
      <c r="C196" s="4" t="s">
        <v>32</v>
      </c>
      <c r="D196" s="4" t="s">
        <v>12</v>
      </c>
      <c r="E196" s="4" t="s">
        <v>13</v>
      </c>
      <c r="F196" s="4">
        <v>7</v>
      </c>
      <c r="G196" s="4">
        <v>1200</v>
      </c>
      <c r="H196" s="4">
        <v>8400</v>
      </c>
      <c r="I196" s="4">
        <v>5953.72</v>
      </c>
      <c r="J196" s="4">
        <v>2446.2800000000002</v>
      </c>
      <c r="K196" s="7" t="s">
        <v>27</v>
      </c>
    </row>
    <row r="197" spans="1:11" x14ac:dyDescent="0.25">
      <c r="A197" s="6">
        <v>1196</v>
      </c>
      <c r="B197" s="5">
        <v>45684</v>
      </c>
      <c r="C197" s="4" t="s">
        <v>11</v>
      </c>
      <c r="D197" s="4" t="s">
        <v>12</v>
      </c>
      <c r="E197" s="4" t="s">
        <v>33</v>
      </c>
      <c r="F197" s="4">
        <v>10</v>
      </c>
      <c r="G197" s="4">
        <v>2500</v>
      </c>
      <c r="H197" s="4">
        <v>25000</v>
      </c>
      <c r="I197" s="4">
        <v>14493.37</v>
      </c>
      <c r="J197" s="4">
        <v>10506.63</v>
      </c>
      <c r="K197" s="7" t="s">
        <v>28</v>
      </c>
    </row>
    <row r="198" spans="1:11" x14ac:dyDescent="0.25">
      <c r="A198" s="6">
        <v>1197</v>
      </c>
      <c r="B198" s="5">
        <v>45875</v>
      </c>
      <c r="C198" s="4" t="s">
        <v>30</v>
      </c>
      <c r="D198" s="4" t="s">
        <v>12</v>
      </c>
      <c r="E198" s="4" t="s">
        <v>13</v>
      </c>
      <c r="F198" s="4">
        <v>2</v>
      </c>
      <c r="G198" s="4">
        <v>500</v>
      </c>
      <c r="H198" s="4">
        <v>1000</v>
      </c>
      <c r="I198" s="4">
        <v>705.09</v>
      </c>
      <c r="J198" s="4">
        <v>294.91000000000003</v>
      </c>
      <c r="K198" s="7" t="s">
        <v>29</v>
      </c>
    </row>
    <row r="199" spans="1:11" x14ac:dyDescent="0.25">
      <c r="A199" s="6">
        <v>1198</v>
      </c>
      <c r="B199" s="5">
        <v>45716</v>
      </c>
      <c r="C199" s="4" t="s">
        <v>32</v>
      </c>
      <c r="D199" s="4" t="s">
        <v>23</v>
      </c>
      <c r="E199" s="4" t="s">
        <v>24</v>
      </c>
      <c r="F199" s="4">
        <v>5</v>
      </c>
      <c r="G199" s="4">
        <v>250</v>
      </c>
      <c r="H199" s="4">
        <v>1250</v>
      </c>
      <c r="I199" s="4">
        <v>1017.79</v>
      </c>
      <c r="J199" s="4">
        <v>232.21</v>
      </c>
      <c r="K199" s="7" t="s">
        <v>21</v>
      </c>
    </row>
    <row r="200" spans="1:11" x14ac:dyDescent="0.25">
      <c r="A200" s="6">
        <v>1199</v>
      </c>
      <c r="B200" s="5">
        <v>45815</v>
      </c>
      <c r="C200" s="4" t="s">
        <v>15</v>
      </c>
      <c r="D200" s="4" t="s">
        <v>16</v>
      </c>
      <c r="E200" s="4" t="s">
        <v>22</v>
      </c>
      <c r="F200" s="4">
        <v>10</v>
      </c>
      <c r="G200" s="4">
        <v>1200</v>
      </c>
      <c r="H200" s="4">
        <v>12000</v>
      </c>
      <c r="I200" s="4">
        <v>8813.1200000000008</v>
      </c>
      <c r="J200" s="4">
        <v>3186.88</v>
      </c>
      <c r="K200" s="7" t="s">
        <v>28</v>
      </c>
    </row>
    <row r="201" spans="1:11" x14ac:dyDescent="0.25">
      <c r="A201" s="6">
        <v>1200</v>
      </c>
      <c r="B201" s="5">
        <v>45766</v>
      </c>
      <c r="C201" s="4" t="s">
        <v>11</v>
      </c>
      <c r="D201" s="4" t="s">
        <v>23</v>
      </c>
      <c r="E201" s="4" t="s">
        <v>26</v>
      </c>
      <c r="F201" s="4">
        <v>1</v>
      </c>
      <c r="G201" s="4">
        <v>150</v>
      </c>
      <c r="H201" s="4">
        <v>150</v>
      </c>
      <c r="I201" s="4">
        <v>93.23</v>
      </c>
      <c r="J201" s="4">
        <v>56.77</v>
      </c>
      <c r="K201" s="7" t="s">
        <v>27</v>
      </c>
    </row>
    <row r="202" spans="1:11" x14ac:dyDescent="0.25">
      <c r="A202" s="6">
        <v>1201</v>
      </c>
      <c r="B202" s="5">
        <v>45878</v>
      </c>
      <c r="C202" s="4" t="s">
        <v>11</v>
      </c>
      <c r="D202" s="4" t="s">
        <v>23</v>
      </c>
      <c r="E202" s="4" t="s">
        <v>24</v>
      </c>
      <c r="F202" s="4">
        <v>2</v>
      </c>
      <c r="G202" s="4">
        <v>150</v>
      </c>
      <c r="H202" s="4">
        <v>300</v>
      </c>
      <c r="I202" s="4">
        <v>217.23</v>
      </c>
      <c r="J202" s="4">
        <v>82.77</v>
      </c>
      <c r="K202" s="7" t="s">
        <v>28</v>
      </c>
    </row>
    <row r="203" spans="1:11" x14ac:dyDescent="0.25">
      <c r="A203" s="6">
        <v>1202</v>
      </c>
      <c r="B203" s="5">
        <v>46000</v>
      </c>
      <c r="C203" s="4" t="s">
        <v>32</v>
      </c>
      <c r="D203" s="4" t="s">
        <v>23</v>
      </c>
      <c r="E203" s="4" t="s">
        <v>26</v>
      </c>
      <c r="F203" s="4">
        <v>4</v>
      </c>
      <c r="G203" s="4">
        <v>2500</v>
      </c>
      <c r="H203" s="4">
        <v>10000</v>
      </c>
      <c r="I203" s="4">
        <v>7455.53</v>
      </c>
      <c r="J203" s="4">
        <v>2544.4699999999998</v>
      </c>
      <c r="K203" s="7" t="s">
        <v>18</v>
      </c>
    </row>
    <row r="204" spans="1:11" x14ac:dyDescent="0.25">
      <c r="A204" s="6">
        <v>1203</v>
      </c>
      <c r="B204" s="5">
        <v>45697</v>
      </c>
      <c r="C204" s="4" t="s">
        <v>32</v>
      </c>
      <c r="D204" s="4" t="s">
        <v>23</v>
      </c>
      <c r="E204" s="4" t="s">
        <v>26</v>
      </c>
      <c r="F204" s="4">
        <v>1</v>
      </c>
      <c r="G204" s="4">
        <v>1200</v>
      </c>
      <c r="H204" s="4">
        <v>1200</v>
      </c>
      <c r="I204" s="4">
        <v>667.87</v>
      </c>
      <c r="J204" s="4">
        <v>532.13</v>
      </c>
      <c r="K204" s="7" t="s">
        <v>29</v>
      </c>
    </row>
    <row r="205" spans="1:11" x14ac:dyDescent="0.25">
      <c r="A205" s="6">
        <v>1204</v>
      </c>
      <c r="B205" s="5">
        <v>45806</v>
      </c>
      <c r="C205" s="4" t="s">
        <v>15</v>
      </c>
      <c r="D205" s="4" t="s">
        <v>23</v>
      </c>
      <c r="E205" s="4" t="s">
        <v>26</v>
      </c>
      <c r="F205" s="4">
        <v>7</v>
      </c>
      <c r="G205" s="4">
        <v>5000</v>
      </c>
      <c r="H205" s="4">
        <v>35000</v>
      </c>
      <c r="I205" s="4">
        <v>27091.74</v>
      </c>
      <c r="J205" s="4">
        <v>7908.26</v>
      </c>
      <c r="K205" s="7" t="s">
        <v>21</v>
      </c>
    </row>
    <row r="206" spans="1:11" x14ac:dyDescent="0.25">
      <c r="A206" s="6">
        <v>1205</v>
      </c>
      <c r="B206" s="5">
        <v>45893</v>
      </c>
      <c r="C206" s="4" t="s">
        <v>32</v>
      </c>
      <c r="D206" s="4" t="s">
        <v>16</v>
      </c>
      <c r="E206" s="4" t="s">
        <v>22</v>
      </c>
      <c r="F206" s="4">
        <v>3</v>
      </c>
      <c r="G206" s="4">
        <v>12000</v>
      </c>
      <c r="H206" s="4">
        <v>36000</v>
      </c>
      <c r="I206" s="4">
        <v>31739.94</v>
      </c>
      <c r="J206" s="4">
        <v>4260.0600000000004</v>
      </c>
      <c r="K206" s="7" t="s">
        <v>18</v>
      </c>
    </row>
    <row r="207" spans="1:11" x14ac:dyDescent="0.25">
      <c r="A207" s="6">
        <v>1206</v>
      </c>
      <c r="B207" s="5">
        <v>45926</v>
      </c>
      <c r="C207" s="4" t="s">
        <v>15</v>
      </c>
      <c r="D207" s="4" t="s">
        <v>23</v>
      </c>
      <c r="E207" s="4" t="s">
        <v>25</v>
      </c>
      <c r="F207" s="4">
        <v>4</v>
      </c>
      <c r="G207" s="4">
        <v>1200</v>
      </c>
      <c r="H207" s="4">
        <v>4800</v>
      </c>
      <c r="I207" s="4">
        <v>3629.3</v>
      </c>
      <c r="J207" s="4">
        <v>1170.7</v>
      </c>
      <c r="K207" s="7" t="s">
        <v>21</v>
      </c>
    </row>
    <row r="208" spans="1:11" x14ac:dyDescent="0.25">
      <c r="A208" s="6">
        <v>1207</v>
      </c>
      <c r="B208" s="5">
        <v>45744</v>
      </c>
      <c r="C208" s="4" t="s">
        <v>15</v>
      </c>
      <c r="D208" s="4" t="s">
        <v>23</v>
      </c>
      <c r="E208" s="4" t="s">
        <v>26</v>
      </c>
      <c r="F208" s="4">
        <v>6</v>
      </c>
      <c r="G208" s="4">
        <v>250</v>
      </c>
      <c r="H208" s="4">
        <v>1500</v>
      </c>
      <c r="I208" s="4">
        <v>999.86</v>
      </c>
      <c r="J208" s="4">
        <v>500.14</v>
      </c>
      <c r="K208" s="7" t="s">
        <v>29</v>
      </c>
    </row>
    <row r="209" spans="1:11" x14ac:dyDescent="0.25">
      <c r="A209" s="6">
        <v>1208</v>
      </c>
      <c r="B209" s="5">
        <v>45836</v>
      </c>
      <c r="C209" s="4" t="s">
        <v>32</v>
      </c>
      <c r="D209" s="4" t="s">
        <v>12</v>
      </c>
      <c r="E209" s="4" t="s">
        <v>13</v>
      </c>
      <c r="F209" s="4">
        <v>9</v>
      </c>
      <c r="G209" s="4">
        <v>2500</v>
      </c>
      <c r="H209" s="4">
        <v>22500</v>
      </c>
      <c r="I209" s="4">
        <v>13901.99</v>
      </c>
      <c r="J209" s="4">
        <v>8598.01</v>
      </c>
      <c r="K209" s="7" t="s">
        <v>14</v>
      </c>
    </row>
    <row r="210" spans="1:11" x14ac:dyDescent="0.25">
      <c r="A210" s="6">
        <v>1209</v>
      </c>
      <c r="B210" s="5">
        <v>45759</v>
      </c>
      <c r="C210" s="4" t="s">
        <v>11</v>
      </c>
      <c r="D210" s="4" t="s">
        <v>12</v>
      </c>
      <c r="E210" s="4" t="s">
        <v>13</v>
      </c>
      <c r="F210" s="4">
        <v>4</v>
      </c>
      <c r="G210" s="4">
        <v>150</v>
      </c>
      <c r="H210" s="4">
        <v>600</v>
      </c>
      <c r="I210" s="4">
        <v>360.75</v>
      </c>
      <c r="J210" s="4">
        <v>239.25</v>
      </c>
      <c r="K210" s="7" t="s">
        <v>29</v>
      </c>
    </row>
    <row r="211" spans="1:11" x14ac:dyDescent="0.25">
      <c r="A211" s="6">
        <v>1210</v>
      </c>
      <c r="B211" s="5">
        <v>45979</v>
      </c>
      <c r="C211" s="4" t="s">
        <v>30</v>
      </c>
      <c r="D211" s="4" t="s">
        <v>16</v>
      </c>
      <c r="E211" s="4" t="s">
        <v>17</v>
      </c>
      <c r="F211" s="4">
        <v>2</v>
      </c>
      <c r="G211" s="4">
        <v>250</v>
      </c>
      <c r="H211" s="4">
        <v>500</v>
      </c>
      <c r="I211" s="4">
        <v>441.48</v>
      </c>
      <c r="J211" s="4">
        <v>58.52</v>
      </c>
      <c r="K211" s="7" t="s">
        <v>21</v>
      </c>
    </row>
    <row r="212" spans="1:11" x14ac:dyDescent="0.25">
      <c r="A212" s="6">
        <v>1211</v>
      </c>
      <c r="B212" s="5">
        <v>45947</v>
      </c>
      <c r="C212" s="4" t="s">
        <v>19</v>
      </c>
      <c r="D212" s="4" t="s">
        <v>12</v>
      </c>
      <c r="E212" s="4" t="s">
        <v>31</v>
      </c>
      <c r="F212" s="4">
        <v>8</v>
      </c>
      <c r="G212" s="4">
        <v>5000</v>
      </c>
      <c r="H212" s="4">
        <v>40000</v>
      </c>
      <c r="I212" s="4">
        <v>34938.160000000003</v>
      </c>
      <c r="J212" s="4">
        <v>5061.84</v>
      </c>
      <c r="K212" s="7" t="s">
        <v>27</v>
      </c>
    </row>
    <row r="213" spans="1:11" x14ac:dyDescent="0.25">
      <c r="A213" s="6">
        <v>1212</v>
      </c>
      <c r="B213" s="5">
        <v>45884</v>
      </c>
      <c r="C213" s="4" t="s">
        <v>32</v>
      </c>
      <c r="D213" s="4" t="s">
        <v>12</v>
      </c>
      <c r="E213" s="4" t="s">
        <v>33</v>
      </c>
      <c r="F213" s="4">
        <v>3</v>
      </c>
      <c r="G213" s="4">
        <v>1200</v>
      </c>
      <c r="H213" s="4">
        <v>3600</v>
      </c>
      <c r="I213" s="4">
        <v>2066.04</v>
      </c>
      <c r="J213" s="4">
        <v>1533.96</v>
      </c>
      <c r="K213" s="7" t="s">
        <v>27</v>
      </c>
    </row>
    <row r="214" spans="1:11" x14ac:dyDescent="0.25">
      <c r="A214" s="6">
        <v>1213</v>
      </c>
      <c r="B214" s="5">
        <v>45894</v>
      </c>
      <c r="C214" s="4" t="s">
        <v>30</v>
      </c>
      <c r="D214" s="4" t="s">
        <v>12</v>
      </c>
      <c r="E214" s="4" t="s">
        <v>13</v>
      </c>
      <c r="F214" s="4">
        <v>6</v>
      </c>
      <c r="G214" s="4">
        <v>2500</v>
      </c>
      <c r="H214" s="4">
        <v>15000</v>
      </c>
      <c r="I214" s="4">
        <v>8639.5</v>
      </c>
      <c r="J214" s="4">
        <v>6360.5</v>
      </c>
      <c r="K214" s="7" t="s">
        <v>18</v>
      </c>
    </row>
    <row r="215" spans="1:11" x14ac:dyDescent="0.25">
      <c r="A215" s="6">
        <v>1214</v>
      </c>
      <c r="B215" s="5">
        <v>45704</v>
      </c>
      <c r="C215" s="4" t="s">
        <v>19</v>
      </c>
      <c r="D215" s="4" t="s">
        <v>16</v>
      </c>
      <c r="E215" s="4" t="s">
        <v>22</v>
      </c>
      <c r="F215" s="4">
        <v>5</v>
      </c>
      <c r="G215" s="4">
        <v>150</v>
      </c>
      <c r="H215" s="4">
        <v>750</v>
      </c>
      <c r="I215" s="4">
        <v>581.72</v>
      </c>
      <c r="J215" s="4">
        <v>168.28</v>
      </c>
      <c r="K215" s="7" t="s">
        <v>29</v>
      </c>
    </row>
    <row r="216" spans="1:11" x14ac:dyDescent="0.25">
      <c r="A216" s="6">
        <v>1215</v>
      </c>
      <c r="B216" s="5">
        <v>45679</v>
      </c>
      <c r="C216" s="4" t="s">
        <v>30</v>
      </c>
      <c r="D216" s="4" t="s">
        <v>12</v>
      </c>
      <c r="E216" s="4" t="s">
        <v>33</v>
      </c>
      <c r="F216" s="4">
        <v>8</v>
      </c>
      <c r="G216" s="4">
        <v>2500</v>
      </c>
      <c r="H216" s="4">
        <v>20000</v>
      </c>
      <c r="I216" s="4">
        <v>14880.21</v>
      </c>
      <c r="J216" s="4">
        <v>5119.79</v>
      </c>
      <c r="K216" s="7" t="s">
        <v>29</v>
      </c>
    </row>
    <row r="217" spans="1:11" x14ac:dyDescent="0.25">
      <c r="A217" s="6">
        <v>1216</v>
      </c>
      <c r="B217" s="5">
        <v>45735</v>
      </c>
      <c r="C217" s="4" t="s">
        <v>15</v>
      </c>
      <c r="D217" s="4" t="s">
        <v>12</v>
      </c>
      <c r="E217" s="4" t="s">
        <v>13</v>
      </c>
      <c r="F217" s="4">
        <v>6</v>
      </c>
      <c r="G217" s="4">
        <v>2500</v>
      </c>
      <c r="H217" s="4">
        <v>15000</v>
      </c>
      <c r="I217" s="4">
        <v>10747.05</v>
      </c>
      <c r="J217" s="4">
        <v>4252.95</v>
      </c>
      <c r="K217" s="7" t="s">
        <v>21</v>
      </c>
    </row>
    <row r="218" spans="1:11" x14ac:dyDescent="0.25">
      <c r="A218" s="6">
        <v>1217</v>
      </c>
      <c r="B218" s="5">
        <v>45678</v>
      </c>
      <c r="C218" s="4" t="s">
        <v>11</v>
      </c>
      <c r="D218" s="4" t="s">
        <v>16</v>
      </c>
      <c r="E218" s="4" t="s">
        <v>22</v>
      </c>
      <c r="F218" s="4">
        <v>2</v>
      </c>
      <c r="G218" s="4">
        <v>2500</v>
      </c>
      <c r="H218" s="4">
        <v>5000</v>
      </c>
      <c r="I218" s="4">
        <v>3880.72</v>
      </c>
      <c r="J218" s="4">
        <v>1119.28</v>
      </c>
      <c r="K218" s="7" t="s">
        <v>14</v>
      </c>
    </row>
    <row r="219" spans="1:11" x14ac:dyDescent="0.25">
      <c r="A219" s="6">
        <v>1218</v>
      </c>
      <c r="B219" s="5">
        <v>45844</v>
      </c>
      <c r="C219" s="4" t="s">
        <v>32</v>
      </c>
      <c r="D219" s="4" t="s">
        <v>23</v>
      </c>
      <c r="E219" s="4" t="s">
        <v>24</v>
      </c>
      <c r="F219" s="4">
        <v>9</v>
      </c>
      <c r="G219" s="4">
        <v>2500</v>
      </c>
      <c r="H219" s="4">
        <v>22500</v>
      </c>
      <c r="I219" s="4">
        <v>17177.22</v>
      </c>
      <c r="J219" s="4">
        <v>5322.78</v>
      </c>
      <c r="K219" s="7" t="s">
        <v>27</v>
      </c>
    </row>
    <row r="220" spans="1:11" x14ac:dyDescent="0.25">
      <c r="A220" s="6">
        <v>1219</v>
      </c>
      <c r="B220" s="5">
        <v>45981</v>
      </c>
      <c r="C220" s="4" t="s">
        <v>32</v>
      </c>
      <c r="D220" s="4" t="s">
        <v>23</v>
      </c>
      <c r="E220" s="4" t="s">
        <v>24</v>
      </c>
      <c r="F220" s="4">
        <v>6</v>
      </c>
      <c r="G220" s="4">
        <v>5000</v>
      </c>
      <c r="H220" s="4">
        <v>30000</v>
      </c>
      <c r="I220" s="4">
        <v>22777.8</v>
      </c>
      <c r="J220" s="4">
        <v>7222.2</v>
      </c>
      <c r="K220" s="7" t="s">
        <v>18</v>
      </c>
    </row>
    <row r="221" spans="1:11" x14ac:dyDescent="0.25">
      <c r="A221" s="6">
        <v>1220</v>
      </c>
      <c r="B221" s="5">
        <v>45787</v>
      </c>
      <c r="C221" s="4" t="s">
        <v>19</v>
      </c>
      <c r="D221" s="4" t="s">
        <v>23</v>
      </c>
      <c r="E221" s="4" t="s">
        <v>25</v>
      </c>
      <c r="F221" s="4">
        <v>9</v>
      </c>
      <c r="G221" s="4">
        <v>5000</v>
      </c>
      <c r="H221" s="4">
        <v>45000</v>
      </c>
      <c r="I221" s="4">
        <v>30838.39</v>
      </c>
      <c r="J221" s="4">
        <v>14161.61</v>
      </c>
      <c r="K221" s="7" t="s">
        <v>28</v>
      </c>
    </row>
    <row r="222" spans="1:11" x14ac:dyDescent="0.25">
      <c r="A222" s="6">
        <v>1221</v>
      </c>
      <c r="B222" s="5">
        <v>45837</v>
      </c>
      <c r="C222" s="4" t="s">
        <v>32</v>
      </c>
      <c r="D222" s="4" t="s">
        <v>23</v>
      </c>
      <c r="E222" s="4" t="s">
        <v>25</v>
      </c>
      <c r="F222" s="4">
        <v>10</v>
      </c>
      <c r="G222" s="4">
        <v>5000</v>
      </c>
      <c r="H222" s="4">
        <v>50000</v>
      </c>
      <c r="I222" s="4">
        <v>29975</v>
      </c>
      <c r="J222" s="4">
        <v>20025</v>
      </c>
      <c r="K222" s="7" t="s">
        <v>14</v>
      </c>
    </row>
    <row r="223" spans="1:11" x14ac:dyDescent="0.25">
      <c r="A223" s="6">
        <v>1222</v>
      </c>
      <c r="B223" s="5">
        <v>45701</v>
      </c>
      <c r="C223" s="4" t="s">
        <v>32</v>
      </c>
      <c r="D223" s="4" t="s">
        <v>12</v>
      </c>
      <c r="E223" s="4" t="s">
        <v>31</v>
      </c>
      <c r="F223" s="4">
        <v>7</v>
      </c>
      <c r="G223" s="4">
        <v>250</v>
      </c>
      <c r="H223" s="4">
        <v>1750</v>
      </c>
      <c r="I223" s="4">
        <v>1326.96</v>
      </c>
      <c r="J223" s="4">
        <v>423.04</v>
      </c>
      <c r="K223" s="7" t="s">
        <v>29</v>
      </c>
    </row>
    <row r="224" spans="1:11" x14ac:dyDescent="0.25">
      <c r="A224" s="6">
        <v>1223</v>
      </c>
      <c r="B224" s="5">
        <v>46017</v>
      </c>
      <c r="C224" s="4" t="s">
        <v>19</v>
      </c>
      <c r="D224" s="4" t="s">
        <v>23</v>
      </c>
      <c r="E224" s="4" t="s">
        <v>26</v>
      </c>
      <c r="F224" s="4">
        <v>6</v>
      </c>
      <c r="G224" s="4">
        <v>12000</v>
      </c>
      <c r="H224" s="4">
        <v>72000</v>
      </c>
      <c r="I224" s="4">
        <v>42820.4</v>
      </c>
      <c r="J224" s="4">
        <v>29179.599999999999</v>
      </c>
      <c r="K224" s="7" t="s">
        <v>18</v>
      </c>
    </row>
    <row r="225" spans="1:11" x14ac:dyDescent="0.25">
      <c r="A225" s="6">
        <v>1224</v>
      </c>
      <c r="B225" s="5">
        <v>45843</v>
      </c>
      <c r="C225" s="4" t="s">
        <v>32</v>
      </c>
      <c r="D225" s="4" t="s">
        <v>12</v>
      </c>
      <c r="E225" s="4" t="s">
        <v>31</v>
      </c>
      <c r="F225" s="4">
        <v>7</v>
      </c>
      <c r="G225" s="4">
        <v>2500</v>
      </c>
      <c r="H225" s="4">
        <v>17500</v>
      </c>
      <c r="I225" s="4">
        <v>11841.2</v>
      </c>
      <c r="J225" s="4">
        <v>5658.8</v>
      </c>
      <c r="K225" s="7" t="s">
        <v>28</v>
      </c>
    </row>
    <row r="226" spans="1:11" x14ac:dyDescent="0.25">
      <c r="A226" s="6">
        <v>1225</v>
      </c>
      <c r="B226" s="5">
        <v>45728</v>
      </c>
      <c r="C226" s="4" t="s">
        <v>11</v>
      </c>
      <c r="D226" s="4" t="s">
        <v>16</v>
      </c>
      <c r="E226" s="4" t="s">
        <v>22</v>
      </c>
      <c r="F226" s="4">
        <v>8</v>
      </c>
      <c r="G226" s="4">
        <v>250</v>
      </c>
      <c r="H226" s="4">
        <v>2000</v>
      </c>
      <c r="I226" s="4">
        <v>1258.58</v>
      </c>
      <c r="J226" s="4">
        <v>741.42</v>
      </c>
      <c r="K226" s="7" t="s">
        <v>18</v>
      </c>
    </row>
    <row r="227" spans="1:11" x14ac:dyDescent="0.25">
      <c r="A227" s="6">
        <v>1226</v>
      </c>
      <c r="B227" s="5">
        <v>45927</v>
      </c>
      <c r="C227" s="4" t="s">
        <v>15</v>
      </c>
      <c r="D227" s="4" t="s">
        <v>23</v>
      </c>
      <c r="E227" s="4" t="s">
        <v>25</v>
      </c>
      <c r="F227" s="4">
        <v>9</v>
      </c>
      <c r="G227" s="4">
        <v>12000</v>
      </c>
      <c r="H227" s="4">
        <v>108000</v>
      </c>
      <c r="I227" s="4">
        <v>79803.33</v>
      </c>
      <c r="J227" s="4">
        <v>28196.67</v>
      </c>
      <c r="K227" s="7" t="s">
        <v>14</v>
      </c>
    </row>
    <row r="228" spans="1:11" x14ac:dyDescent="0.25">
      <c r="A228" s="6">
        <v>1227</v>
      </c>
      <c r="B228" s="5">
        <v>45741</v>
      </c>
      <c r="C228" s="4" t="s">
        <v>11</v>
      </c>
      <c r="D228" s="4" t="s">
        <v>23</v>
      </c>
      <c r="E228" s="4" t="s">
        <v>26</v>
      </c>
      <c r="F228" s="4">
        <v>3</v>
      </c>
      <c r="G228" s="4">
        <v>2500</v>
      </c>
      <c r="H228" s="4">
        <v>7500</v>
      </c>
      <c r="I228" s="4">
        <v>5113.8900000000003</v>
      </c>
      <c r="J228" s="4">
        <v>2386.11</v>
      </c>
      <c r="K228" s="7" t="s">
        <v>14</v>
      </c>
    </row>
    <row r="229" spans="1:11" x14ac:dyDescent="0.25">
      <c r="A229" s="6">
        <v>1228</v>
      </c>
      <c r="B229" s="5">
        <v>46004</v>
      </c>
      <c r="C229" s="4" t="s">
        <v>11</v>
      </c>
      <c r="D229" s="4" t="s">
        <v>12</v>
      </c>
      <c r="E229" s="4" t="s">
        <v>13</v>
      </c>
      <c r="F229" s="4">
        <v>8</v>
      </c>
      <c r="G229" s="4">
        <v>150</v>
      </c>
      <c r="H229" s="4">
        <v>1200</v>
      </c>
      <c r="I229" s="4">
        <v>832.56</v>
      </c>
      <c r="J229" s="4">
        <v>367.44</v>
      </c>
      <c r="K229" s="7" t="s">
        <v>21</v>
      </c>
    </row>
    <row r="230" spans="1:11" x14ac:dyDescent="0.25">
      <c r="A230" s="6">
        <v>1229</v>
      </c>
      <c r="B230" s="5">
        <v>45816</v>
      </c>
      <c r="C230" s="4" t="s">
        <v>30</v>
      </c>
      <c r="D230" s="4" t="s">
        <v>12</v>
      </c>
      <c r="E230" s="4" t="s">
        <v>33</v>
      </c>
      <c r="F230" s="4">
        <v>8</v>
      </c>
      <c r="G230" s="4">
        <v>250</v>
      </c>
      <c r="H230" s="4">
        <v>2000</v>
      </c>
      <c r="I230" s="4">
        <v>1473.81</v>
      </c>
      <c r="J230" s="4">
        <v>526.19000000000005</v>
      </c>
      <c r="K230" s="7" t="s">
        <v>28</v>
      </c>
    </row>
    <row r="231" spans="1:11" x14ac:dyDescent="0.25">
      <c r="A231" s="6">
        <v>1230</v>
      </c>
      <c r="B231" s="5">
        <v>45802</v>
      </c>
      <c r="C231" s="4" t="s">
        <v>30</v>
      </c>
      <c r="D231" s="4" t="s">
        <v>23</v>
      </c>
      <c r="E231" s="4" t="s">
        <v>26</v>
      </c>
      <c r="F231" s="4">
        <v>10</v>
      </c>
      <c r="G231" s="4">
        <v>1200</v>
      </c>
      <c r="H231" s="4">
        <v>12000</v>
      </c>
      <c r="I231" s="4">
        <v>8539.06</v>
      </c>
      <c r="J231" s="4">
        <v>3460.94</v>
      </c>
      <c r="K231" s="7" t="s">
        <v>29</v>
      </c>
    </row>
    <row r="232" spans="1:11" x14ac:dyDescent="0.25">
      <c r="A232" s="6">
        <v>1231</v>
      </c>
      <c r="B232" s="5">
        <v>45967</v>
      </c>
      <c r="C232" s="4" t="s">
        <v>11</v>
      </c>
      <c r="D232" s="4" t="s">
        <v>12</v>
      </c>
      <c r="E232" s="4" t="s">
        <v>33</v>
      </c>
      <c r="F232" s="4">
        <v>3</v>
      </c>
      <c r="G232" s="4">
        <v>12000</v>
      </c>
      <c r="H232" s="4">
        <v>36000</v>
      </c>
      <c r="I232" s="4">
        <v>22316.19</v>
      </c>
      <c r="J232" s="4">
        <v>13683.81</v>
      </c>
      <c r="K232" s="7" t="s">
        <v>27</v>
      </c>
    </row>
    <row r="233" spans="1:11" x14ac:dyDescent="0.25">
      <c r="A233" s="6">
        <v>1232</v>
      </c>
      <c r="B233" s="5">
        <v>45710</v>
      </c>
      <c r="C233" s="4" t="s">
        <v>19</v>
      </c>
      <c r="D233" s="4" t="s">
        <v>16</v>
      </c>
      <c r="E233" s="4" t="s">
        <v>17</v>
      </c>
      <c r="F233" s="4">
        <v>8</v>
      </c>
      <c r="G233" s="4">
        <v>12000</v>
      </c>
      <c r="H233" s="4">
        <v>96000</v>
      </c>
      <c r="I233" s="4">
        <v>65272.73</v>
      </c>
      <c r="J233" s="4">
        <v>30727.27</v>
      </c>
      <c r="K233" s="7" t="s">
        <v>18</v>
      </c>
    </row>
    <row r="234" spans="1:11" x14ac:dyDescent="0.25">
      <c r="A234" s="6">
        <v>1233</v>
      </c>
      <c r="B234" s="5">
        <v>45920</v>
      </c>
      <c r="C234" s="4" t="s">
        <v>11</v>
      </c>
      <c r="D234" s="4" t="s">
        <v>23</v>
      </c>
      <c r="E234" s="4" t="s">
        <v>25</v>
      </c>
      <c r="F234" s="4">
        <v>3</v>
      </c>
      <c r="G234" s="4">
        <v>500</v>
      </c>
      <c r="H234" s="4">
        <v>1500</v>
      </c>
      <c r="I234" s="4">
        <v>1060.8900000000001</v>
      </c>
      <c r="J234" s="4">
        <v>439.11</v>
      </c>
      <c r="K234" s="7" t="s">
        <v>21</v>
      </c>
    </row>
    <row r="235" spans="1:11" x14ac:dyDescent="0.25">
      <c r="A235" s="6">
        <v>1234</v>
      </c>
      <c r="B235" s="5">
        <v>45870</v>
      </c>
      <c r="C235" s="4" t="s">
        <v>15</v>
      </c>
      <c r="D235" s="4" t="s">
        <v>16</v>
      </c>
      <c r="E235" s="4" t="s">
        <v>20</v>
      </c>
      <c r="F235" s="4">
        <v>8</v>
      </c>
      <c r="G235" s="4">
        <v>500</v>
      </c>
      <c r="H235" s="4">
        <v>4000</v>
      </c>
      <c r="I235" s="4">
        <v>3502.66</v>
      </c>
      <c r="J235" s="4">
        <v>497.34</v>
      </c>
      <c r="K235" s="7" t="s">
        <v>21</v>
      </c>
    </row>
    <row r="236" spans="1:11" x14ac:dyDescent="0.25">
      <c r="A236" s="6">
        <v>1235</v>
      </c>
      <c r="B236" s="5">
        <v>45849</v>
      </c>
      <c r="C236" s="4" t="s">
        <v>11</v>
      </c>
      <c r="D236" s="4" t="s">
        <v>12</v>
      </c>
      <c r="E236" s="4" t="s">
        <v>33</v>
      </c>
      <c r="F236" s="4">
        <v>4</v>
      </c>
      <c r="G236" s="4">
        <v>1200</v>
      </c>
      <c r="H236" s="4">
        <v>4800</v>
      </c>
      <c r="I236" s="4">
        <v>4310.8</v>
      </c>
      <c r="J236" s="4">
        <v>489.2</v>
      </c>
      <c r="K236" s="7" t="s">
        <v>18</v>
      </c>
    </row>
    <row r="237" spans="1:11" x14ac:dyDescent="0.25">
      <c r="A237" s="6">
        <v>1236</v>
      </c>
      <c r="B237" s="5">
        <v>45677</v>
      </c>
      <c r="C237" s="4" t="s">
        <v>32</v>
      </c>
      <c r="D237" s="4" t="s">
        <v>23</v>
      </c>
      <c r="E237" s="4" t="s">
        <v>25</v>
      </c>
      <c r="F237" s="4">
        <v>6</v>
      </c>
      <c r="G237" s="4">
        <v>12000</v>
      </c>
      <c r="H237" s="4">
        <v>72000</v>
      </c>
      <c r="I237" s="4">
        <v>43280.44</v>
      </c>
      <c r="J237" s="4">
        <v>28719.56</v>
      </c>
      <c r="K237" s="7" t="s">
        <v>21</v>
      </c>
    </row>
    <row r="238" spans="1:11" x14ac:dyDescent="0.25">
      <c r="A238" s="6">
        <v>1237</v>
      </c>
      <c r="B238" s="5">
        <v>45698</v>
      </c>
      <c r="C238" s="4" t="s">
        <v>15</v>
      </c>
      <c r="D238" s="4" t="s">
        <v>12</v>
      </c>
      <c r="E238" s="4" t="s">
        <v>13</v>
      </c>
      <c r="F238" s="4">
        <v>8</v>
      </c>
      <c r="G238" s="4">
        <v>1200</v>
      </c>
      <c r="H238" s="4">
        <v>9600</v>
      </c>
      <c r="I238" s="4">
        <v>7347.57</v>
      </c>
      <c r="J238" s="4">
        <v>2252.4299999999998</v>
      </c>
      <c r="K238" s="7" t="s">
        <v>27</v>
      </c>
    </row>
    <row r="239" spans="1:11" x14ac:dyDescent="0.25">
      <c r="A239" s="6">
        <v>1238</v>
      </c>
      <c r="B239" s="5">
        <v>45874</v>
      </c>
      <c r="C239" s="4" t="s">
        <v>15</v>
      </c>
      <c r="D239" s="4" t="s">
        <v>16</v>
      </c>
      <c r="E239" s="4" t="s">
        <v>20</v>
      </c>
      <c r="F239" s="4">
        <v>9</v>
      </c>
      <c r="G239" s="4">
        <v>5000</v>
      </c>
      <c r="H239" s="4">
        <v>45000</v>
      </c>
      <c r="I239" s="4">
        <v>34339.86</v>
      </c>
      <c r="J239" s="4">
        <v>10660.14</v>
      </c>
      <c r="K239" s="7" t="s">
        <v>27</v>
      </c>
    </row>
    <row r="240" spans="1:11" x14ac:dyDescent="0.25">
      <c r="A240" s="6">
        <v>1239</v>
      </c>
      <c r="B240" s="5">
        <v>45985</v>
      </c>
      <c r="C240" s="4" t="s">
        <v>19</v>
      </c>
      <c r="D240" s="4" t="s">
        <v>16</v>
      </c>
      <c r="E240" s="4" t="s">
        <v>22</v>
      </c>
      <c r="F240" s="4">
        <v>2</v>
      </c>
      <c r="G240" s="4">
        <v>150</v>
      </c>
      <c r="H240" s="4">
        <v>300</v>
      </c>
      <c r="I240" s="4">
        <v>190.04</v>
      </c>
      <c r="J240" s="4">
        <v>109.96</v>
      </c>
      <c r="K240" s="7" t="s">
        <v>21</v>
      </c>
    </row>
    <row r="241" spans="1:11" x14ac:dyDescent="0.25">
      <c r="A241" s="6">
        <v>1240</v>
      </c>
      <c r="B241" s="5">
        <v>45981</v>
      </c>
      <c r="C241" s="4" t="s">
        <v>19</v>
      </c>
      <c r="D241" s="4" t="s">
        <v>16</v>
      </c>
      <c r="E241" s="4" t="s">
        <v>20</v>
      </c>
      <c r="F241" s="4">
        <v>8</v>
      </c>
      <c r="G241" s="4">
        <v>2500</v>
      </c>
      <c r="H241" s="4">
        <v>20000</v>
      </c>
      <c r="I241" s="4">
        <v>14752.38</v>
      </c>
      <c r="J241" s="4">
        <v>5247.62</v>
      </c>
      <c r="K241" s="7" t="s">
        <v>29</v>
      </c>
    </row>
    <row r="242" spans="1:11" x14ac:dyDescent="0.25">
      <c r="A242" s="6">
        <v>1241</v>
      </c>
      <c r="B242" s="5">
        <v>45972</v>
      </c>
      <c r="C242" s="4" t="s">
        <v>32</v>
      </c>
      <c r="D242" s="4" t="s">
        <v>16</v>
      </c>
      <c r="E242" s="4" t="s">
        <v>17</v>
      </c>
      <c r="F242" s="4">
        <v>3</v>
      </c>
      <c r="G242" s="4">
        <v>500</v>
      </c>
      <c r="H242" s="4">
        <v>1500</v>
      </c>
      <c r="I242" s="4">
        <v>1050.3499999999999</v>
      </c>
      <c r="J242" s="4">
        <v>449.65</v>
      </c>
      <c r="K242" s="7" t="s">
        <v>28</v>
      </c>
    </row>
    <row r="243" spans="1:11" x14ac:dyDescent="0.25">
      <c r="A243" s="6">
        <v>1242</v>
      </c>
      <c r="B243" s="5">
        <v>45926</v>
      </c>
      <c r="C243" s="4" t="s">
        <v>32</v>
      </c>
      <c r="D243" s="4" t="s">
        <v>12</v>
      </c>
      <c r="E243" s="4" t="s">
        <v>33</v>
      </c>
      <c r="F243" s="4">
        <v>3</v>
      </c>
      <c r="G243" s="4">
        <v>5000</v>
      </c>
      <c r="H243" s="4">
        <v>15000</v>
      </c>
      <c r="I243" s="4">
        <v>11758.13</v>
      </c>
      <c r="J243" s="4">
        <v>3241.87</v>
      </c>
      <c r="K243" s="7" t="s">
        <v>18</v>
      </c>
    </row>
    <row r="244" spans="1:11" x14ac:dyDescent="0.25">
      <c r="A244" s="6">
        <v>1243</v>
      </c>
      <c r="B244" s="5">
        <v>45941</v>
      </c>
      <c r="C244" s="4" t="s">
        <v>15</v>
      </c>
      <c r="D244" s="4" t="s">
        <v>12</v>
      </c>
      <c r="E244" s="4" t="s">
        <v>31</v>
      </c>
      <c r="F244" s="4">
        <v>9</v>
      </c>
      <c r="G244" s="4">
        <v>12000</v>
      </c>
      <c r="H244" s="4">
        <v>108000</v>
      </c>
      <c r="I244" s="4">
        <v>96758.93</v>
      </c>
      <c r="J244" s="4">
        <v>11241.07</v>
      </c>
      <c r="K244" s="7" t="s">
        <v>21</v>
      </c>
    </row>
    <row r="245" spans="1:11" x14ac:dyDescent="0.25">
      <c r="A245" s="6">
        <v>1244</v>
      </c>
      <c r="B245" s="5">
        <v>45666</v>
      </c>
      <c r="C245" s="4" t="s">
        <v>32</v>
      </c>
      <c r="D245" s="4" t="s">
        <v>23</v>
      </c>
      <c r="E245" s="4" t="s">
        <v>25</v>
      </c>
      <c r="F245" s="4">
        <v>7</v>
      </c>
      <c r="G245" s="4">
        <v>500</v>
      </c>
      <c r="H245" s="4">
        <v>3500</v>
      </c>
      <c r="I245" s="4">
        <v>2235.7199999999998</v>
      </c>
      <c r="J245" s="4">
        <v>1264.28</v>
      </c>
      <c r="K245" s="7" t="s">
        <v>18</v>
      </c>
    </row>
    <row r="246" spans="1:11" x14ac:dyDescent="0.25">
      <c r="A246" s="6">
        <v>1245</v>
      </c>
      <c r="B246" s="5">
        <v>45828</v>
      </c>
      <c r="C246" s="4" t="s">
        <v>11</v>
      </c>
      <c r="D246" s="4" t="s">
        <v>23</v>
      </c>
      <c r="E246" s="4" t="s">
        <v>25</v>
      </c>
      <c r="F246" s="4">
        <v>2</v>
      </c>
      <c r="G246" s="4">
        <v>12000</v>
      </c>
      <c r="H246" s="4">
        <v>24000</v>
      </c>
      <c r="I246" s="4">
        <v>18087.990000000002</v>
      </c>
      <c r="J246" s="4">
        <v>5912.01</v>
      </c>
      <c r="K246" s="7" t="s">
        <v>18</v>
      </c>
    </row>
    <row r="247" spans="1:11" x14ac:dyDescent="0.25">
      <c r="A247" s="6">
        <v>1246</v>
      </c>
      <c r="B247" s="5">
        <v>46008</v>
      </c>
      <c r="C247" s="4" t="s">
        <v>30</v>
      </c>
      <c r="D247" s="4" t="s">
        <v>23</v>
      </c>
      <c r="E247" s="4" t="s">
        <v>26</v>
      </c>
      <c r="F247" s="4">
        <v>6</v>
      </c>
      <c r="G247" s="4">
        <v>12000</v>
      </c>
      <c r="H247" s="4">
        <v>72000</v>
      </c>
      <c r="I247" s="4">
        <v>55798.45</v>
      </c>
      <c r="J247" s="4">
        <v>16201.55</v>
      </c>
      <c r="K247" s="7" t="s">
        <v>14</v>
      </c>
    </row>
    <row r="248" spans="1:11" x14ac:dyDescent="0.25">
      <c r="A248" s="6">
        <v>1247</v>
      </c>
      <c r="B248" s="5">
        <v>45892</v>
      </c>
      <c r="C248" s="4" t="s">
        <v>15</v>
      </c>
      <c r="D248" s="4" t="s">
        <v>23</v>
      </c>
      <c r="E248" s="4" t="s">
        <v>26</v>
      </c>
      <c r="F248" s="4">
        <v>3</v>
      </c>
      <c r="G248" s="4">
        <v>12000</v>
      </c>
      <c r="H248" s="4">
        <v>36000</v>
      </c>
      <c r="I248" s="4">
        <v>21499.14</v>
      </c>
      <c r="J248" s="4">
        <v>14500.86</v>
      </c>
      <c r="K248" s="7" t="s">
        <v>27</v>
      </c>
    </row>
    <row r="249" spans="1:11" x14ac:dyDescent="0.25">
      <c r="A249" s="6">
        <v>1248</v>
      </c>
      <c r="B249" s="5">
        <v>45816</v>
      </c>
      <c r="C249" s="4" t="s">
        <v>19</v>
      </c>
      <c r="D249" s="4" t="s">
        <v>16</v>
      </c>
      <c r="E249" s="4" t="s">
        <v>20</v>
      </c>
      <c r="F249" s="4">
        <v>4</v>
      </c>
      <c r="G249" s="4">
        <v>150</v>
      </c>
      <c r="H249" s="4">
        <v>600</v>
      </c>
      <c r="I249" s="4">
        <v>396.28</v>
      </c>
      <c r="J249" s="4">
        <v>203.72</v>
      </c>
      <c r="K249" s="7" t="s">
        <v>21</v>
      </c>
    </row>
    <row r="250" spans="1:11" x14ac:dyDescent="0.25">
      <c r="A250" s="6">
        <v>1249</v>
      </c>
      <c r="B250" s="5">
        <v>45755</v>
      </c>
      <c r="C250" s="4" t="s">
        <v>32</v>
      </c>
      <c r="D250" s="4" t="s">
        <v>12</v>
      </c>
      <c r="E250" s="4" t="s">
        <v>33</v>
      </c>
      <c r="F250" s="4">
        <v>5</v>
      </c>
      <c r="G250" s="4">
        <v>150</v>
      </c>
      <c r="H250" s="4">
        <v>750</v>
      </c>
      <c r="I250" s="4">
        <v>610.24</v>
      </c>
      <c r="J250" s="4">
        <v>139.76</v>
      </c>
      <c r="K250" s="7" t="s">
        <v>27</v>
      </c>
    </row>
    <row r="251" spans="1:11" x14ac:dyDescent="0.25">
      <c r="A251" s="6">
        <v>1250</v>
      </c>
      <c r="B251" s="5">
        <v>45846</v>
      </c>
      <c r="C251" s="4" t="s">
        <v>30</v>
      </c>
      <c r="D251" s="4" t="s">
        <v>16</v>
      </c>
      <c r="E251" s="4" t="s">
        <v>17</v>
      </c>
      <c r="F251" s="4">
        <v>6</v>
      </c>
      <c r="G251" s="4">
        <v>500</v>
      </c>
      <c r="H251" s="4">
        <v>3000</v>
      </c>
      <c r="I251" s="4">
        <v>1780.7</v>
      </c>
      <c r="J251" s="4">
        <v>1219.3</v>
      </c>
      <c r="K251" s="7" t="s">
        <v>21</v>
      </c>
    </row>
    <row r="252" spans="1:11" x14ac:dyDescent="0.25">
      <c r="A252" s="6">
        <v>1251</v>
      </c>
      <c r="B252" s="5">
        <v>45912</v>
      </c>
      <c r="C252" s="4" t="s">
        <v>30</v>
      </c>
      <c r="D252" s="4" t="s">
        <v>12</v>
      </c>
      <c r="E252" s="4" t="s">
        <v>33</v>
      </c>
      <c r="F252" s="4">
        <v>7</v>
      </c>
      <c r="G252" s="4">
        <v>500</v>
      </c>
      <c r="H252" s="4">
        <v>3500</v>
      </c>
      <c r="I252" s="4">
        <v>3117.81</v>
      </c>
      <c r="J252" s="4">
        <v>382.19</v>
      </c>
      <c r="K252" s="7" t="s">
        <v>27</v>
      </c>
    </row>
    <row r="253" spans="1:11" x14ac:dyDescent="0.25">
      <c r="A253" s="6">
        <v>1252</v>
      </c>
      <c r="B253" s="5">
        <v>45878</v>
      </c>
      <c r="C253" s="4" t="s">
        <v>19</v>
      </c>
      <c r="D253" s="4" t="s">
        <v>12</v>
      </c>
      <c r="E253" s="4" t="s">
        <v>33</v>
      </c>
      <c r="F253" s="4">
        <v>2</v>
      </c>
      <c r="G253" s="4">
        <v>5000</v>
      </c>
      <c r="H253" s="4">
        <v>10000</v>
      </c>
      <c r="I253" s="4">
        <v>6985.75</v>
      </c>
      <c r="J253" s="4">
        <v>3014.25</v>
      </c>
      <c r="K253" s="7" t="s">
        <v>28</v>
      </c>
    </row>
    <row r="254" spans="1:11" x14ac:dyDescent="0.25">
      <c r="A254" s="6">
        <v>1253</v>
      </c>
      <c r="B254" s="5">
        <v>45996</v>
      </c>
      <c r="C254" s="4" t="s">
        <v>32</v>
      </c>
      <c r="D254" s="4" t="s">
        <v>12</v>
      </c>
      <c r="E254" s="4" t="s">
        <v>33</v>
      </c>
      <c r="F254" s="4">
        <v>6</v>
      </c>
      <c r="G254" s="4">
        <v>150</v>
      </c>
      <c r="H254" s="4">
        <v>900</v>
      </c>
      <c r="I254" s="4">
        <v>520.22</v>
      </c>
      <c r="J254" s="4">
        <v>379.78</v>
      </c>
      <c r="K254" s="7" t="s">
        <v>27</v>
      </c>
    </row>
    <row r="255" spans="1:11" x14ac:dyDescent="0.25">
      <c r="A255" s="6">
        <v>1254</v>
      </c>
      <c r="B255" s="5">
        <v>45837</v>
      </c>
      <c r="C255" s="4" t="s">
        <v>30</v>
      </c>
      <c r="D255" s="4" t="s">
        <v>23</v>
      </c>
      <c r="E255" s="4" t="s">
        <v>26</v>
      </c>
      <c r="F255" s="4">
        <v>7</v>
      </c>
      <c r="G255" s="4">
        <v>250</v>
      </c>
      <c r="H255" s="4">
        <v>1750</v>
      </c>
      <c r="I255" s="4">
        <v>1384.98</v>
      </c>
      <c r="J255" s="4">
        <v>365.02</v>
      </c>
      <c r="K255" s="7" t="s">
        <v>18</v>
      </c>
    </row>
    <row r="256" spans="1:11" x14ac:dyDescent="0.25">
      <c r="A256" s="6">
        <v>1255</v>
      </c>
      <c r="B256" s="5">
        <v>45687</v>
      </c>
      <c r="C256" s="4" t="s">
        <v>15</v>
      </c>
      <c r="D256" s="4" t="s">
        <v>12</v>
      </c>
      <c r="E256" s="4" t="s">
        <v>33</v>
      </c>
      <c r="F256" s="4">
        <v>10</v>
      </c>
      <c r="G256" s="4">
        <v>1200</v>
      </c>
      <c r="H256" s="4">
        <v>12000</v>
      </c>
      <c r="I256" s="4">
        <v>7753.13</v>
      </c>
      <c r="J256" s="4">
        <v>4246.87</v>
      </c>
      <c r="K256" s="7" t="s">
        <v>14</v>
      </c>
    </row>
    <row r="257" spans="1:11" x14ac:dyDescent="0.25">
      <c r="A257" s="6">
        <v>1256</v>
      </c>
      <c r="B257" s="5">
        <v>46005</v>
      </c>
      <c r="C257" s="4" t="s">
        <v>11</v>
      </c>
      <c r="D257" s="4" t="s">
        <v>12</v>
      </c>
      <c r="E257" s="4" t="s">
        <v>33</v>
      </c>
      <c r="F257" s="4">
        <v>6</v>
      </c>
      <c r="G257" s="4">
        <v>2500</v>
      </c>
      <c r="H257" s="4">
        <v>15000</v>
      </c>
      <c r="I257" s="4">
        <v>12455.75</v>
      </c>
      <c r="J257" s="4">
        <v>2544.25</v>
      </c>
      <c r="K257" s="7" t="s">
        <v>18</v>
      </c>
    </row>
    <row r="258" spans="1:11" x14ac:dyDescent="0.25">
      <c r="A258" s="6">
        <v>1257</v>
      </c>
      <c r="B258" s="5">
        <v>45778</v>
      </c>
      <c r="C258" s="4" t="s">
        <v>32</v>
      </c>
      <c r="D258" s="4" t="s">
        <v>16</v>
      </c>
      <c r="E258" s="4" t="s">
        <v>17</v>
      </c>
      <c r="F258" s="4">
        <v>8</v>
      </c>
      <c r="G258" s="4">
        <v>150</v>
      </c>
      <c r="H258" s="4">
        <v>1200</v>
      </c>
      <c r="I258" s="4">
        <v>713.02</v>
      </c>
      <c r="J258" s="4">
        <v>486.98</v>
      </c>
      <c r="K258" s="7" t="s">
        <v>27</v>
      </c>
    </row>
    <row r="259" spans="1:11" x14ac:dyDescent="0.25">
      <c r="A259" s="6">
        <v>1258</v>
      </c>
      <c r="B259" s="5">
        <v>45888</v>
      </c>
      <c r="C259" s="4" t="s">
        <v>32</v>
      </c>
      <c r="D259" s="4" t="s">
        <v>23</v>
      </c>
      <c r="E259" s="4" t="s">
        <v>26</v>
      </c>
      <c r="F259" s="4">
        <v>1</v>
      </c>
      <c r="G259" s="4">
        <v>2500</v>
      </c>
      <c r="H259" s="4">
        <v>2500</v>
      </c>
      <c r="I259" s="4">
        <v>1509.26</v>
      </c>
      <c r="J259" s="4">
        <v>990.74</v>
      </c>
      <c r="K259" s="7" t="s">
        <v>27</v>
      </c>
    </row>
    <row r="260" spans="1:11" x14ac:dyDescent="0.25">
      <c r="A260" s="6">
        <v>1259</v>
      </c>
      <c r="B260" s="5">
        <v>45861</v>
      </c>
      <c r="C260" s="4" t="s">
        <v>32</v>
      </c>
      <c r="D260" s="4" t="s">
        <v>23</v>
      </c>
      <c r="E260" s="4" t="s">
        <v>25</v>
      </c>
      <c r="F260" s="4">
        <v>10</v>
      </c>
      <c r="G260" s="4">
        <v>250</v>
      </c>
      <c r="H260" s="4">
        <v>2500</v>
      </c>
      <c r="I260" s="4">
        <v>1838.28</v>
      </c>
      <c r="J260" s="4">
        <v>661.72</v>
      </c>
      <c r="K260" s="7" t="s">
        <v>14</v>
      </c>
    </row>
    <row r="261" spans="1:11" x14ac:dyDescent="0.25">
      <c r="A261" s="6">
        <v>1260</v>
      </c>
      <c r="B261" s="5">
        <v>45913</v>
      </c>
      <c r="C261" s="4" t="s">
        <v>19</v>
      </c>
      <c r="D261" s="4" t="s">
        <v>23</v>
      </c>
      <c r="E261" s="4" t="s">
        <v>25</v>
      </c>
      <c r="F261" s="4">
        <v>2</v>
      </c>
      <c r="G261" s="4">
        <v>150</v>
      </c>
      <c r="H261" s="4">
        <v>300</v>
      </c>
      <c r="I261" s="4">
        <v>242.25</v>
      </c>
      <c r="J261" s="4">
        <v>57.75</v>
      </c>
      <c r="K261" s="7" t="s">
        <v>21</v>
      </c>
    </row>
    <row r="262" spans="1:11" x14ac:dyDescent="0.25">
      <c r="A262" s="6">
        <v>1261</v>
      </c>
      <c r="B262" s="5">
        <v>45886</v>
      </c>
      <c r="C262" s="4" t="s">
        <v>11</v>
      </c>
      <c r="D262" s="4" t="s">
        <v>12</v>
      </c>
      <c r="E262" s="4" t="s">
        <v>13</v>
      </c>
      <c r="F262" s="4">
        <v>5</v>
      </c>
      <c r="G262" s="4">
        <v>12000</v>
      </c>
      <c r="H262" s="4">
        <v>60000</v>
      </c>
      <c r="I262" s="4">
        <v>38466.089999999997</v>
      </c>
      <c r="J262" s="4">
        <v>21533.91</v>
      </c>
      <c r="K262" s="7" t="s">
        <v>29</v>
      </c>
    </row>
    <row r="263" spans="1:11" x14ac:dyDescent="0.25">
      <c r="A263" s="6">
        <v>1262</v>
      </c>
      <c r="B263" s="5">
        <v>45695</v>
      </c>
      <c r="C263" s="4" t="s">
        <v>30</v>
      </c>
      <c r="D263" s="4" t="s">
        <v>23</v>
      </c>
      <c r="E263" s="4" t="s">
        <v>26</v>
      </c>
      <c r="F263" s="4">
        <v>8</v>
      </c>
      <c r="G263" s="4">
        <v>250</v>
      </c>
      <c r="H263" s="4">
        <v>2000</v>
      </c>
      <c r="I263" s="4">
        <v>1185.8499999999999</v>
      </c>
      <c r="J263" s="4">
        <v>814.15</v>
      </c>
      <c r="K263" s="7" t="s">
        <v>28</v>
      </c>
    </row>
    <row r="264" spans="1:11" x14ac:dyDescent="0.25">
      <c r="A264" s="6">
        <v>1263</v>
      </c>
      <c r="B264" s="5">
        <v>45821</v>
      </c>
      <c r="C264" s="4" t="s">
        <v>32</v>
      </c>
      <c r="D264" s="4" t="s">
        <v>12</v>
      </c>
      <c r="E264" s="4" t="s">
        <v>33</v>
      </c>
      <c r="F264" s="4">
        <v>2</v>
      </c>
      <c r="G264" s="4">
        <v>12000</v>
      </c>
      <c r="H264" s="4">
        <v>24000</v>
      </c>
      <c r="I264" s="4">
        <v>18928.21</v>
      </c>
      <c r="J264" s="4">
        <v>5071.79</v>
      </c>
      <c r="K264" s="7" t="s">
        <v>14</v>
      </c>
    </row>
    <row r="265" spans="1:11" x14ac:dyDescent="0.25">
      <c r="A265" s="6">
        <v>1264</v>
      </c>
      <c r="B265" s="5">
        <v>45738</v>
      </c>
      <c r="C265" s="4" t="s">
        <v>11</v>
      </c>
      <c r="D265" s="4" t="s">
        <v>16</v>
      </c>
      <c r="E265" s="4" t="s">
        <v>17</v>
      </c>
      <c r="F265" s="4">
        <v>9</v>
      </c>
      <c r="G265" s="4">
        <v>500</v>
      </c>
      <c r="H265" s="4">
        <v>4500</v>
      </c>
      <c r="I265" s="4">
        <v>3878.85</v>
      </c>
      <c r="J265" s="4">
        <v>621.15</v>
      </c>
      <c r="K265" s="7" t="s">
        <v>27</v>
      </c>
    </row>
    <row r="266" spans="1:11" x14ac:dyDescent="0.25">
      <c r="A266" s="6">
        <v>1265</v>
      </c>
      <c r="B266" s="5">
        <v>45779</v>
      </c>
      <c r="C266" s="4" t="s">
        <v>30</v>
      </c>
      <c r="D266" s="4" t="s">
        <v>12</v>
      </c>
      <c r="E266" s="4" t="s">
        <v>13</v>
      </c>
      <c r="F266" s="4">
        <v>2</v>
      </c>
      <c r="G266" s="4">
        <v>250</v>
      </c>
      <c r="H266" s="4">
        <v>500</v>
      </c>
      <c r="I266" s="4">
        <v>413.61</v>
      </c>
      <c r="J266" s="4">
        <v>86.39</v>
      </c>
      <c r="K266" s="7" t="s">
        <v>18</v>
      </c>
    </row>
    <row r="267" spans="1:11" x14ac:dyDescent="0.25">
      <c r="A267" s="6">
        <v>1266</v>
      </c>
      <c r="B267" s="5">
        <v>45940</v>
      </c>
      <c r="C267" s="4" t="s">
        <v>11</v>
      </c>
      <c r="D267" s="4" t="s">
        <v>23</v>
      </c>
      <c r="E267" s="4" t="s">
        <v>26</v>
      </c>
      <c r="F267" s="4">
        <v>10</v>
      </c>
      <c r="G267" s="4">
        <v>500</v>
      </c>
      <c r="H267" s="4">
        <v>5000</v>
      </c>
      <c r="I267" s="4">
        <v>3567.96</v>
      </c>
      <c r="J267" s="4">
        <v>1432.04</v>
      </c>
      <c r="K267" s="7" t="s">
        <v>29</v>
      </c>
    </row>
    <row r="268" spans="1:11" x14ac:dyDescent="0.25">
      <c r="A268" s="6">
        <v>1267</v>
      </c>
      <c r="B268" s="5">
        <v>45903</v>
      </c>
      <c r="C268" s="4" t="s">
        <v>19</v>
      </c>
      <c r="D268" s="4" t="s">
        <v>16</v>
      </c>
      <c r="E268" s="4" t="s">
        <v>20</v>
      </c>
      <c r="F268" s="4">
        <v>5</v>
      </c>
      <c r="G268" s="4">
        <v>1200</v>
      </c>
      <c r="H268" s="4">
        <v>6000</v>
      </c>
      <c r="I268" s="4">
        <v>5399.15</v>
      </c>
      <c r="J268" s="4">
        <v>600.85</v>
      </c>
      <c r="K268" s="7" t="s">
        <v>21</v>
      </c>
    </row>
    <row r="269" spans="1:11" x14ac:dyDescent="0.25">
      <c r="A269" s="6">
        <v>1268</v>
      </c>
      <c r="B269" s="5">
        <v>45986</v>
      </c>
      <c r="C269" s="4" t="s">
        <v>15</v>
      </c>
      <c r="D269" s="4" t="s">
        <v>23</v>
      </c>
      <c r="E269" s="4" t="s">
        <v>26</v>
      </c>
      <c r="F269" s="4">
        <v>2</v>
      </c>
      <c r="G269" s="4">
        <v>250</v>
      </c>
      <c r="H269" s="4">
        <v>500</v>
      </c>
      <c r="I269" s="4">
        <v>445.17</v>
      </c>
      <c r="J269" s="4">
        <v>54.83</v>
      </c>
      <c r="K269" s="7" t="s">
        <v>21</v>
      </c>
    </row>
    <row r="270" spans="1:11" x14ac:dyDescent="0.25">
      <c r="A270" s="6">
        <v>1269</v>
      </c>
      <c r="B270" s="5">
        <v>45940</v>
      </c>
      <c r="C270" s="4" t="s">
        <v>19</v>
      </c>
      <c r="D270" s="4" t="s">
        <v>23</v>
      </c>
      <c r="E270" s="4" t="s">
        <v>26</v>
      </c>
      <c r="F270" s="4">
        <v>9</v>
      </c>
      <c r="G270" s="4">
        <v>500</v>
      </c>
      <c r="H270" s="4">
        <v>4500</v>
      </c>
      <c r="I270" s="4">
        <v>2677.13</v>
      </c>
      <c r="J270" s="4">
        <v>1822.87</v>
      </c>
      <c r="K270" s="7" t="s">
        <v>28</v>
      </c>
    </row>
    <row r="271" spans="1:11" x14ac:dyDescent="0.25">
      <c r="A271" s="6">
        <v>1270</v>
      </c>
      <c r="B271" s="5">
        <v>45721</v>
      </c>
      <c r="C271" s="4" t="s">
        <v>19</v>
      </c>
      <c r="D271" s="4" t="s">
        <v>16</v>
      </c>
      <c r="E271" s="4" t="s">
        <v>22</v>
      </c>
      <c r="F271" s="4">
        <v>9</v>
      </c>
      <c r="G271" s="4">
        <v>12000</v>
      </c>
      <c r="H271" s="4">
        <v>108000</v>
      </c>
      <c r="I271" s="4">
        <v>61494.61</v>
      </c>
      <c r="J271" s="4">
        <v>46505.39</v>
      </c>
      <c r="K271" s="7" t="s">
        <v>28</v>
      </c>
    </row>
    <row r="272" spans="1:11" x14ac:dyDescent="0.25">
      <c r="A272" s="6">
        <v>1271</v>
      </c>
      <c r="B272" s="5">
        <v>45773</v>
      </c>
      <c r="C272" s="4" t="s">
        <v>32</v>
      </c>
      <c r="D272" s="4" t="s">
        <v>23</v>
      </c>
      <c r="E272" s="4" t="s">
        <v>25</v>
      </c>
      <c r="F272" s="4">
        <v>3</v>
      </c>
      <c r="G272" s="4">
        <v>500</v>
      </c>
      <c r="H272" s="4">
        <v>1500</v>
      </c>
      <c r="I272" s="4">
        <v>1315.74</v>
      </c>
      <c r="J272" s="4">
        <v>184.26</v>
      </c>
      <c r="K272" s="7" t="s">
        <v>29</v>
      </c>
    </row>
    <row r="273" spans="1:11" x14ac:dyDescent="0.25">
      <c r="A273" s="6">
        <v>1272</v>
      </c>
      <c r="B273" s="5">
        <v>45940</v>
      </c>
      <c r="C273" s="4" t="s">
        <v>32</v>
      </c>
      <c r="D273" s="4" t="s">
        <v>23</v>
      </c>
      <c r="E273" s="4" t="s">
        <v>25</v>
      </c>
      <c r="F273" s="4">
        <v>5</v>
      </c>
      <c r="G273" s="4">
        <v>250</v>
      </c>
      <c r="H273" s="4">
        <v>1250</v>
      </c>
      <c r="I273" s="4">
        <v>965.34</v>
      </c>
      <c r="J273" s="4">
        <v>284.66000000000003</v>
      </c>
      <c r="K273" s="7" t="s">
        <v>28</v>
      </c>
    </row>
    <row r="274" spans="1:11" x14ac:dyDescent="0.25">
      <c r="A274" s="6">
        <v>1273</v>
      </c>
      <c r="B274" s="5">
        <v>45986</v>
      </c>
      <c r="C274" s="4" t="s">
        <v>11</v>
      </c>
      <c r="D274" s="4" t="s">
        <v>12</v>
      </c>
      <c r="E274" s="4" t="s">
        <v>33</v>
      </c>
      <c r="F274" s="4">
        <v>10</v>
      </c>
      <c r="G274" s="4">
        <v>2500</v>
      </c>
      <c r="H274" s="4">
        <v>25000</v>
      </c>
      <c r="I274" s="4">
        <v>14567.5</v>
      </c>
      <c r="J274" s="4">
        <v>10432.5</v>
      </c>
      <c r="K274" s="7" t="s">
        <v>29</v>
      </c>
    </row>
    <row r="275" spans="1:11" x14ac:dyDescent="0.25">
      <c r="A275" s="6">
        <v>1274</v>
      </c>
      <c r="B275" s="5">
        <v>45967</v>
      </c>
      <c r="C275" s="4" t="s">
        <v>32</v>
      </c>
      <c r="D275" s="4" t="s">
        <v>12</v>
      </c>
      <c r="E275" s="4" t="s">
        <v>13</v>
      </c>
      <c r="F275" s="4">
        <v>3</v>
      </c>
      <c r="G275" s="4">
        <v>5000</v>
      </c>
      <c r="H275" s="4">
        <v>15000</v>
      </c>
      <c r="I275" s="4">
        <v>11528.52</v>
      </c>
      <c r="J275" s="4">
        <v>3471.48</v>
      </c>
      <c r="K275" s="7" t="s">
        <v>29</v>
      </c>
    </row>
    <row r="276" spans="1:11" x14ac:dyDescent="0.25">
      <c r="A276" s="6">
        <v>1275</v>
      </c>
      <c r="B276" s="5">
        <v>45953</v>
      </c>
      <c r="C276" s="4" t="s">
        <v>32</v>
      </c>
      <c r="D276" s="4" t="s">
        <v>16</v>
      </c>
      <c r="E276" s="4" t="s">
        <v>20</v>
      </c>
      <c r="F276" s="4">
        <v>2</v>
      </c>
      <c r="G276" s="4">
        <v>150</v>
      </c>
      <c r="H276" s="4">
        <v>300</v>
      </c>
      <c r="I276" s="4">
        <v>264.60000000000002</v>
      </c>
      <c r="J276" s="4">
        <v>35.4</v>
      </c>
      <c r="K276" s="7" t="s">
        <v>14</v>
      </c>
    </row>
    <row r="277" spans="1:11" x14ac:dyDescent="0.25">
      <c r="A277" s="6">
        <v>1276</v>
      </c>
      <c r="B277" s="5">
        <v>45912</v>
      </c>
      <c r="C277" s="4" t="s">
        <v>19</v>
      </c>
      <c r="D277" s="4" t="s">
        <v>16</v>
      </c>
      <c r="E277" s="4" t="s">
        <v>17</v>
      </c>
      <c r="F277" s="4">
        <v>7</v>
      </c>
      <c r="G277" s="4">
        <v>2500</v>
      </c>
      <c r="H277" s="4">
        <v>17500</v>
      </c>
      <c r="I277" s="4">
        <v>13538.82</v>
      </c>
      <c r="J277" s="4">
        <v>3961.18</v>
      </c>
      <c r="K277" s="7" t="s">
        <v>27</v>
      </c>
    </row>
    <row r="278" spans="1:11" x14ac:dyDescent="0.25">
      <c r="A278" s="6">
        <v>1277</v>
      </c>
      <c r="B278" s="5">
        <v>46008</v>
      </c>
      <c r="C278" s="4" t="s">
        <v>30</v>
      </c>
      <c r="D278" s="4" t="s">
        <v>12</v>
      </c>
      <c r="E278" s="4" t="s">
        <v>33</v>
      </c>
      <c r="F278" s="4">
        <v>8</v>
      </c>
      <c r="G278" s="4">
        <v>250</v>
      </c>
      <c r="H278" s="4">
        <v>2000</v>
      </c>
      <c r="I278" s="4">
        <v>1663.28</v>
      </c>
      <c r="J278" s="4">
        <v>336.72</v>
      </c>
      <c r="K278" s="7" t="s">
        <v>27</v>
      </c>
    </row>
    <row r="279" spans="1:11" x14ac:dyDescent="0.25">
      <c r="A279" s="6">
        <v>1278</v>
      </c>
      <c r="B279" s="5">
        <v>45905</v>
      </c>
      <c r="C279" s="4" t="s">
        <v>30</v>
      </c>
      <c r="D279" s="4" t="s">
        <v>23</v>
      </c>
      <c r="E279" s="4" t="s">
        <v>25</v>
      </c>
      <c r="F279" s="4">
        <v>1</v>
      </c>
      <c r="G279" s="4">
        <v>250</v>
      </c>
      <c r="H279" s="4">
        <v>250</v>
      </c>
      <c r="I279" s="4">
        <v>175.97</v>
      </c>
      <c r="J279" s="4">
        <v>74.03</v>
      </c>
      <c r="K279" s="7" t="s">
        <v>28</v>
      </c>
    </row>
    <row r="280" spans="1:11" x14ac:dyDescent="0.25">
      <c r="A280" s="6">
        <v>1279</v>
      </c>
      <c r="B280" s="5">
        <v>45821</v>
      </c>
      <c r="C280" s="4" t="s">
        <v>32</v>
      </c>
      <c r="D280" s="4" t="s">
        <v>23</v>
      </c>
      <c r="E280" s="4" t="s">
        <v>26</v>
      </c>
      <c r="F280" s="4">
        <v>3</v>
      </c>
      <c r="G280" s="4">
        <v>500</v>
      </c>
      <c r="H280" s="4">
        <v>1500</v>
      </c>
      <c r="I280" s="4">
        <v>1277.28</v>
      </c>
      <c r="J280" s="4">
        <v>222.72</v>
      </c>
      <c r="K280" s="7" t="s">
        <v>21</v>
      </c>
    </row>
    <row r="281" spans="1:11" x14ac:dyDescent="0.25">
      <c r="A281" s="6">
        <v>1280</v>
      </c>
      <c r="B281" s="5">
        <v>45781</v>
      </c>
      <c r="C281" s="4" t="s">
        <v>30</v>
      </c>
      <c r="D281" s="4" t="s">
        <v>16</v>
      </c>
      <c r="E281" s="4" t="s">
        <v>22</v>
      </c>
      <c r="F281" s="4">
        <v>9</v>
      </c>
      <c r="G281" s="4">
        <v>2500</v>
      </c>
      <c r="H281" s="4">
        <v>22500</v>
      </c>
      <c r="I281" s="4">
        <v>13211.2</v>
      </c>
      <c r="J281" s="4">
        <v>9288.7999999999993</v>
      </c>
      <c r="K281" s="7" t="s">
        <v>18</v>
      </c>
    </row>
    <row r="282" spans="1:11" x14ac:dyDescent="0.25">
      <c r="A282" s="6">
        <v>1281</v>
      </c>
      <c r="B282" s="5">
        <v>45806</v>
      </c>
      <c r="C282" s="4" t="s">
        <v>30</v>
      </c>
      <c r="D282" s="4" t="s">
        <v>23</v>
      </c>
      <c r="E282" s="4" t="s">
        <v>24</v>
      </c>
      <c r="F282" s="4">
        <v>4</v>
      </c>
      <c r="G282" s="4">
        <v>250</v>
      </c>
      <c r="H282" s="4">
        <v>1000</v>
      </c>
      <c r="I282" s="4">
        <v>583.88</v>
      </c>
      <c r="J282" s="4">
        <v>416.12</v>
      </c>
      <c r="K282" s="7" t="s">
        <v>29</v>
      </c>
    </row>
    <row r="283" spans="1:11" x14ac:dyDescent="0.25">
      <c r="A283" s="6">
        <v>1282</v>
      </c>
      <c r="B283" s="5">
        <v>45953</v>
      </c>
      <c r="C283" s="4" t="s">
        <v>32</v>
      </c>
      <c r="D283" s="4" t="s">
        <v>23</v>
      </c>
      <c r="E283" s="4" t="s">
        <v>25</v>
      </c>
      <c r="F283" s="4">
        <v>3</v>
      </c>
      <c r="G283" s="4">
        <v>12000</v>
      </c>
      <c r="H283" s="4">
        <v>36000</v>
      </c>
      <c r="I283" s="4">
        <v>23925.69</v>
      </c>
      <c r="J283" s="4">
        <v>12074.31</v>
      </c>
      <c r="K283" s="7" t="s">
        <v>28</v>
      </c>
    </row>
    <row r="284" spans="1:11" x14ac:dyDescent="0.25">
      <c r="A284" s="6">
        <v>1283</v>
      </c>
      <c r="B284" s="5">
        <v>45815</v>
      </c>
      <c r="C284" s="4" t="s">
        <v>30</v>
      </c>
      <c r="D284" s="4" t="s">
        <v>16</v>
      </c>
      <c r="E284" s="4" t="s">
        <v>22</v>
      </c>
      <c r="F284" s="4">
        <v>9</v>
      </c>
      <c r="G284" s="4">
        <v>1200</v>
      </c>
      <c r="H284" s="4">
        <v>10800</v>
      </c>
      <c r="I284" s="4">
        <v>7825.31</v>
      </c>
      <c r="J284" s="4">
        <v>2974.69</v>
      </c>
      <c r="K284" s="7" t="s">
        <v>18</v>
      </c>
    </row>
    <row r="285" spans="1:11" x14ac:dyDescent="0.25">
      <c r="A285" s="6">
        <v>1284</v>
      </c>
      <c r="B285" s="5">
        <v>45768</v>
      </c>
      <c r="C285" s="4" t="s">
        <v>19</v>
      </c>
      <c r="D285" s="4" t="s">
        <v>16</v>
      </c>
      <c r="E285" s="4" t="s">
        <v>22</v>
      </c>
      <c r="F285" s="4">
        <v>9</v>
      </c>
      <c r="G285" s="4">
        <v>1200</v>
      </c>
      <c r="H285" s="4">
        <v>10800</v>
      </c>
      <c r="I285" s="4">
        <v>9594.08</v>
      </c>
      <c r="J285" s="4">
        <v>1205.92</v>
      </c>
      <c r="K285" s="7" t="s">
        <v>27</v>
      </c>
    </row>
    <row r="286" spans="1:11" x14ac:dyDescent="0.25">
      <c r="A286" s="6">
        <v>1285</v>
      </c>
      <c r="B286" s="5">
        <v>45992</v>
      </c>
      <c r="C286" s="4" t="s">
        <v>30</v>
      </c>
      <c r="D286" s="4" t="s">
        <v>16</v>
      </c>
      <c r="E286" s="4" t="s">
        <v>20</v>
      </c>
      <c r="F286" s="4">
        <v>5</v>
      </c>
      <c r="G286" s="4">
        <v>1200</v>
      </c>
      <c r="H286" s="4">
        <v>6000</v>
      </c>
      <c r="I286" s="4">
        <v>4554.79</v>
      </c>
      <c r="J286" s="4">
        <v>1445.21</v>
      </c>
      <c r="K286" s="7" t="s">
        <v>27</v>
      </c>
    </row>
    <row r="287" spans="1:11" x14ac:dyDescent="0.25">
      <c r="A287" s="6">
        <v>1286</v>
      </c>
      <c r="B287" s="5">
        <v>45793</v>
      </c>
      <c r="C287" s="4" t="s">
        <v>32</v>
      </c>
      <c r="D287" s="4" t="s">
        <v>12</v>
      </c>
      <c r="E287" s="4" t="s">
        <v>13</v>
      </c>
      <c r="F287" s="4">
        <v>2</v>
      </c>
      <c r="G287" s="4">
        <v>1200</v>
      </c>
      <c r="H287" s="4">
        <v>2400</v>
      </c>
      <c r="I287" s="4">
        <v>1432.51</v>
      </c>
      <c r="J287" s="4">
        <v>967.49</v>
      </c>
      <c r="K287" s="7" t="s">
        <v>21</v>
      </c>
    </row>
    <row r="288" spans="1:11" x14ac:dyDescent="0.25">
      <c r="A288" s="6">
        <v>1287</v>
      </c>
      <c r="B288" s="5">
        <v>45757</v>
      </c>
      <c r="C288" s="4" t="s">
        <v>32</v>
      </c>
      <c r="D288" s="4" t="s">
        <v>23</v>
      </c>
      <c r="E288" s="4" t="s">
        <v>25</v>
      </c>
      <c r="F288" s="4">
        <v>7</v>
      </c>
      <c r="G288" s="4">
        <v>150</v>
      </c>
      <c r="H288" s="4">
        <v>1050</v>
      </c>
      <c r="I288" s="4">
        <v>787.08</v>
      </c>
      <c r="J288" s="4">
        <v>262.92</v>
      </c>
      <c r="K288" s="7" t="s">
        <v>29</v>
      </c>
    </row>
    <row r="289" spans="1:11" x14ac:dyDescent="0.25">
      <c r="A289" s="6">
        <v>1288</v>
      </c>
      <c r="B289" s="5">
        <v>45939</v>
      </c>
      <c r="C289" s="4" t="s">
        <v>32</v>
      </c>
      <c r="D289" s="4" t="s">
        <v>23</v>
      </c>
      <c r="E289" s="4" t="s">
        <v>25</v>
      </c>
      <c r="F289" s="4">
        <v>7</v>
      </c>
      <c r="G289" s="4">
        <v>2500</v>
      </c>
      <c r="H289" s="4">
        <v>17500</v>
      </c>
      <c r="I289" s="4">
        <v>12383.42</v>
      </c>
      <c r="J289" s="4">
        <v>5116.58</v>
      </c>
      <c r="K289" s="7" t="s">
        <v>29</v>
      </c>
    </row>
    <row r="290" spans="1:11" x14ac:dyDescent="0.25">
      <c r="A290" s="6">
        <v>1289</v>
      </c>
      <c r="B290" s="5">
        <v>45859</v>
      </c>
      <c r="C290" s="4" t="s">
        <v>32</v>
      </c>
      <c r="D290" s="4" t="s">
        <v>12</v>
      </c>
      <c r="E290" s="4" t="s">
        <v>31</v>
      </c>
      <c r="F290" s="4">
        <v>2</v>
      </c>
      <c r="G290" s="4">
        <v>250</v>
      </c>
      <c r="H290" s="4">
        <v>500</v>
      </c>
      <c r="I290" s="4">
        <v>445.64</v>
      </c>
      <c r="J290" s="4">
        <v>54.36</v>
      </c>
      <c r="K290" s="7" t="s">
        <v>27</v>
      </c>
    </row>
    <row r="291" spans="1:11" x14ac:dyDescent="0.25">
      <c r="A291" s="6">
        <v>1290</v>
      </c>
      <c r="B291" s="5">
        <v>45863</v>
      </c>
      <c r="C291" s="4" t="s">
        <v>19</v>
      </c>
      <c r="D291" s="4" t="s">
        <v>12</v>
      </c>
      <c r="E291" s="4" t="s">
        <v>33</v>
      </c>
      <c r="F291" s="4">
        <v>3</v>
      </c>
      <c r="G291" s="4">
        <v>250</v>
      </c>
      <c r="H291" s="4">
        <v>750</v>
      </c>
      <c r="I291" s="4">
        <v>570.65</v>
      </c>
      <c r="J291" s="4">
        <v>179.35</v>
      </c>
      <c r="K291" s="7" t="s">
        <v>18</v>
      </c>
    </row>
    <row r="292" spans="1:11" x14ac:dyDescent="0.25">
      <c r="A292" s="6">
        <v>1291</v>
      </c>
      <c r="B292" s="5">
        <v>45900</v>
      </c>
      <c r="C292" s="4" t="s">
        <v>19</v>
      </c>
      <c r="D292" s="4" t="s">
        <v>16</v>
      </c>
      <c r="E292" s="4" t="s">
        <v>20</v>
      </c>
      <c r="F292" s="4">
        <v>3</v>
      </c>
      <c r="G292" s="4">
        <v>5000</v>
      </c>
      <c r="H292" s="4">
        <v>15000</v>
      </c>
      <c r="I292" s="4">
        <v>9998.4599999999991</v>
      </c>
      <c r="J292" s="4">
        <v>5001.54</v>
      </c>
      <c r="K292" s="7" t="s">
        <v>21</v>
      </c>
    </row>
    <row r="293" spans="1:11" x14ac:dyDescent="0.25">
      <c r="A293" s="6">
        <v>1292</v>
      </c>
      <c r="B293" s="5">
        <v>45971</v>
      </c>
      <c r="C293" s="4" t="s">
        <v>32</v>
      </c>
      <c r="D293" s="4" t="s">
        <v>16</v>
      </c>
      <c r="E293" s="4" t="s">
        <v>17</v>
      </c>
      <c r="F293" s="4">
        <v>9</v>
      </c>
      <c r="G293" s="4">
        <v>250</v>
      </c>
      <c r="H293" s="4">
        <v>2250</v>
      </c>
      <c r="I293" s="4">
        <v>1495.77</v>
      </c>
      <c r="J293" s="4">
        <v>754.23</v>
      </c>
      <c r="K293" s="7" t="s">
        <v>28</v>
      </c>
    </row>
    <row r="294" spans="1:11" x14ac:dyDescent="0.25">
      <c r="A294" s="6">
        <v>1293</v>
      </c>
      <c r="B294" s="5">
        <v>45918</v>
      </c>
      <c r="C294" s="4" t="s">
        <v>19</v>
      </c>
      <c r="D294" s="4" t="s">
        <v>23</v>
      </c>
      <c r="E294" s="4" t="s">
        <v>26</v>
      </c>
      <c r="F294" s="4">
        <v>5</v>
      </c>
      <c r="G294" s="4">
        <v>2500</v>
      </c>
      <c r="H294" s="4">
        <v>12500</v>
      </c>
      <c r="I294" s="4">
        <v>8346.6299999999992</v>
      </c>
      <c r="J294" s="4">
        <v>4153.37</v>
      </c>
      <c r="K294" s="7" t="s">
        <v>21</v>
      </c>
    </row>
    <row r="295" spans="1:11" x14ac:dyDescent="0.25">
      <c r="A295" s="6">
        <v>1294</v>
      </c>
      <c r="B295" s="5">
        <v>45846</v>
      </c>
      <c r="C295" s="4" t="s">
        <v>32</v>
      </c>
      <c r="D295" s="4" t="s">
        <v>12</v>
      </c>
      <c r="E295" s="4" t="s">
        <v>31</v>
      </c>
      <c r="F295" s="4">
        <v>5</v>
      </c>
      <c r="G295" s="4">
        <v>1200</v>
      </c>
      <c r="H295" s="4">
        <v>6000</v>
      </c>
      <c r="I295" s="4">
        <v>5013.07</v>
      </c>
      <c r="J295" s="4">
        <v>986.93</v>
      </c>
      <c r="K295" s="7" t="s">
        <v>14</v>
      </c>
    </row>
    <row r="296" spans="1:11" x14ac:dyDescent="0.25">
      <c r="A296" s="6">
        <v>1295</v>
      </c>
      <c r="B296" s="5">
        <v>46010</v>
      </c>
      <c r="C296" s="4" t="s">
        <v>15</v>
      </c>
      <c r="D296" s="4" t="s">
        <v>16</v>
      </c>
      <c r="E296" s="4" t="s">
        <v>22</v>
      </c>
      <c r="F296" s="4">
        <v>10</v>
      </c>
      <c r="G296" s="4">
        <v>500</v>
      </c>
      <c r="H296" s="4">
        <v>5000</v>
      </c>
      <c r="I296" s="4">
        <v>4144.32</v>
      </c>
      <c r="J296" s="4">
        <v>855.68</v>
      </c>
      <c r="K296" s="7" t="s">
        <v>29</v>
      </c>
    </row>
    <row r="297" spans="1:11" x14ac:dyDescent="0.25">
      <c r="A297" s="6">
        <v>1296</v>
      </c>
      <c r="B297" s="5">
        <v>45684</v>
      </c>
      <c r="C297" s="4" t="s">
        <v>19</v>
      </c>
      <c r="D297" s="4" t="s">
        <v>23</v>
      </c>
      <c r="E297" s="4" t="s">
        <v>24</v>
      </c>
      <c r="F297" s="4">
        <v>10</v>
      </c>
      <c r="G297" s="4">
        <v>2500</v>
      </c>
      <c r="H297" s="4">
        <v>25000</v>
      </c>
      <c r="I297" s="4">
        <v>15741</v>
      </c>
      <c r="J297" s="4">
        <v>9259</v>
      </c>
      <c r="K297" s="7" t="s">
        <v>21</v>
      </c>
    </row>
    <row r="298" spans="1:11" x14ac:dyDescent="0.25">
      <c r="A298" s="6">
        <v>1297</v>
      </c>
      <c r="B298" s="5">
        <v>45733</v>
      </c>
      <c r="C298" s="4" t="s">
        <v>11</v>
      </c>
      <c r="D298" s="4" t="s">
        <v>16</v>
      </c>
      <c r="E298" s="4" t="s">
        <v>17</v>
      </c>
      <c r="F298" s="4">
        <v>10</v>
      </c>
      <c r="G298" s="4">
        <v>12000</v>
      </c>
      <c r="H298" s="4">
        <v>120000</v>
      </c>
      <c r="I298" s="4">
        <v>101329.02</v>
      </c>
      <c r="J298" s="4">
        <v>18670.98</v>
      </c>
      <c r="K298" s="7" t="s">
        <v>18</v>
      </c>
    </row>
    <row r="299" spans="1:11" x14ac:dyDescent="0.25">
      <c r="A299" s="6">
        <v>1298</v>
      </c>
      <c r="B299" s="5">
        <v>45818</v>
      </c>
      <c r="C299" s="4" t="s">
        <v>30</v>
      </c>
      <c r="D299" s="4" t="s">
        <v>12</v>
      </c>
      <c r="E299" s="4" t="s">
        <v>31</v>
      </c>
      <c r="F299" s="4">
        <v>2</v>
      </c>
      <c r="G299" s="4">
        <v>250</v>
      </c>
      <c r="H299" s="4">
        <v>500</v>
      </c>
      <c r="I299" s="4">
        <v>278.31</v>
      </c>
      <c r="J299" s="4">
        <v>221.69</v>
      </c>
      <c r="K299" s="7" t="s">
        <v>28</v>
      </c>
    </row>
    <row r="300" spans="1:11" x14ac:dyDescent="0.25">
      <c r="A300" s="6">
        <v>1299</v>
      </c>
      <c r="B300" s="5">
        <v>45971</v>
      </c>
      <c r="C300" s="4" t="s">
        <v>30</v>
      </c>
      <c r="D300" s="4" t="s">
        <v>23</v>
      </c>
      <c r="E300" s="4" t="s">
        <v>26</v>
      </c>
      <c r="F300" s="4">
        <v>4</v>
      </c>
      <c r="G300" s="4">
        <v>1200</v>
      </c>
      <c r="H300" s="4">
        <v>4800</v>
      </c>
      <c r="I300" s="4">
        <v>3483.06</v>
      </c>
      <c r="J300" s="4">
        <v>1316.94</v>
      </c>
      <c r="K300" s="7" t="s">
        <v>14</v>
      </c>
    </row>
    <row r="301" spans="1:11" x14ac:dyDescent="0.25">
      <c r="A301" s="6">
        <v>1300</v>
      </c>
      <c r="B301" s="5">
        <v>45824</v>
      </c>
      <c r="C301" s="4" t="s">
        <v>30</v>
      </c>
      <c r="D301" s="4" t="s">
        <v>12</v>
      </c>
      <c r="E301" s="4" t="s">
        <v>13</v>
      </c>
      <c r="F301" s="4">
        <v>3</v>
      </c>
      <c r="G301" s="4">
        <v>2500</v>
      </c>
      <c r="H301" s="4">
        <v>7500</v>
      </c>
      <c r="I301" s="4">
        <v>4669.2700000000004</v>
      </c>
      <c r="J301" s="4">
        <v>2830.73</v>
      </c>
      <c r="K301" s="7" t="s">
        <v>29</v>
      </c>
    </row>
    <row r="302" spans="1:11" x14ac:dyDescent="0.25">
      <c r="A302" s="6">
        <v>1301</v>
      </c>
      <c r="B302" s="5">
        <v>45833</v>
      </c>
      <c r="C302" s="4" t="s">
        <v>19</v>
      </c>
      <c r="D302" s="4" t="s">
        <v>23</v>
      </c>
      <c r="E302" s="4" t="s">
        <v>24</v>
      </c>
      <c r="F302" s="4">
        <v>3</v>
      </c>
      <c r="G302" s="4">
        <v>1200</v>
      </c>
      <c r="H302" s="4">
        <v>3600</v>
      </c>
      <c r="I302" s="4">
        <v>3129.28</v>
      </c>
      <c r="J302" s="4">
        <v>470.72</v>
      </c>
      <c r="K302" s="7" t="s">
        <v>27</v>
      </c>
    </row>
    <row r="303" spans="1:11" x14ac:dyDescent="0.25">
      <c r="A303" s="6">
        <v>1302</v>
      </c>
      <c r="B303" s="5">
        <v>45784</v>
      </c>
      <c r="C303" s="4" t="s">
        <v>32</v>
      </c>
      <c r="D303" s="4" t="s">
        <v>12</v>
      </c>
      <c r="E303" s="4" t="s">
        <v>31</v>
      </c>
      <c r="F303" s="4">
        <v>5</v>
      </c>
      <c r="G303" s="4">
        <v>2500</v>
      </c>
      <c r="H303" s="4">
        <v>12500</v>
      </c>
      <c r="I303" s="4">
        <v>8993.2900000000009</v>
      </c>
      <c r="J303" s="4">
        <v>3506.71</v>
      </c>
      <c r="K303" s="7" t="s">
        <v>29</v>
      </c>
    </row>
    <row r="304" spans="1:11" x14ac:dyDescent="0.25">
      <c r="A304" s="6">
        <v>1303</v>
      </c>
      <c r="B304" s="5">
        <v>45764</v>
      </c>
      <c r="C304" s="4" t="s">
        <v>30</v>
      </c>
      <c r="D304" s="4" t="s">
        <v>23</v>
      </c>
      <c r="E304" s="4" t="s">
        <v>25</v>
      </c>
      <c r="F304" s="4">
        <v>5</v>
      </c>
      <c r="G304" s="4">
        <v>12000</v>
      </c>
      <c r="H304" s="4">
        <v>60000</v>
      </c>
      <c r="I304" s="4">
        <v>39069.089999999997</v>
      </c>
      <c r="J304" s="4">
        <v>20930.91</v>
      </c>
      <c r="K304" s="7" t="s">
        <v>27</v>
      </c>
    </row>
    <row r="305" spans="1:11" x14ac:dyDescent="0.25">
      <c r="A305" s="6">
        <v>1304</v>
      </c>
      <c r="B305" s="5">
        <v>45805</v>
      </c>
      <c r="C305" s="4" t="s">
        <v>15</v>
      </c>
      <c r="D305" s="4" t="s">
        <v>23</v>
      </c>
      <c r="E305" s="4" t="s">
        <v>24</v>
      </c>
      <c r="F305" s="4">
        <v>9</v>
      </c>
      <c r="G305" s="4">
        <v>12000</v>
      </c>
      <c r="H305" s="4">
        <v>108000</v>
      </c>
      <c r="I305" s="4">
        <v>86678.91</v>
      </c>
      <c r="J305" s="4">
        <v>21321.09</v>
      </c>
      <c r="K305" s="7" t="s">
        <v>29</v>
      </c>
    </row>
    <row r="306" spans="1:11" x14ac:dyDescent="0.25">
      <c r="A306" s="6">
        <v>1305</v>
      </c>
      <c r="B306" s="5">
        <v>45732</v>
      </c>
      <c r="C306" s="4" t="s">
        <v>32</v>
      </c>
      <c r="D306" s="4" t="s">
        <v>12</v>
      </c>
      <c r="E306" s="4" t="s">
        <v>31</v>
      </c>
      <c r="F306" s="4">
        <v>7</v>
      </c>
      <c r="G306" s="4">
        <v>1200</v>
      </c>
      <c r="H306" s="4">
        <v>8400</v>
      </c>
      <c r="I306" s="4">
        <v>7026.03</v>
      </c>
      <c r="J306" s="4">
        <v>1373.97</v>
      </c>
      <c r="K306" s="7" t="s">
        <v>18</v>
      </c>
    </row>
    <row r="307" spans="1:11" x14ac:dyDescent="0.25">
      <c r="A307" s="6">
        <v>1306</v>
      </c>
      <c r="B307" s="5">
        <v>45993</v>
      </c>
      <c r="C307" s="4" t="s">
        <v>32</v>
      </c>
      <c r="D307" s="4" t="s">
        <v>23</v>
      </c>
      <c r="E307" s="4" t="s">
        <v>26</v>
      </c>
      <c r="F307" s="4">
        <v>2</v>
      </c>
      <c r="G307" s="4">
        <v>500</v>
      </c>
      <c r="H307" s="4">
        <v>1000</v>
      </c>
      <c r="I307" s="4">
        <v>873.4</v>
      </c>
      <c r="J307" s="4">
        <v>126.6</v>
      </c>
      <c r="K307" s="7" t="s">
        <v>14</v>
      </c>
    </row>
    <row r="308" spans="1:11" x14ac:dyDescent="0.25">
      <c r="A308" s="6">
        <v>1307</v>
      </c>
      <c r="B308" s="5">
        <v>45945</v>
      </c>
      <c r="C308" s="4" t="s">
        <v>32</v>
      </c>
      <c r="D308" s="4" t="s">
        <v>23</v>
      </c>
      <c r="E308" s="4" t="s">
        <v>25</v>
      </c>
      <c r="F308" s="4">
        <v>4</v>
      </c>
      <c r="G308" s="4">
        <v>12000</v>
      </c>
      <c r="H308" s="4">
        <v>48000</v>
      </c>
      <c r="I308" s="4">
        <v>35448.11</v>
      </c>
      <c r="J308" s="4">
        <v>12551.89</v>
      </c>
      <c r="K308" s="7" t="s">
        <v>28</v>
      </c>
    </row>
    <row r="309" spans="1:11" x14ac:dyDescent="0.25">
      <c r="A309" s="6">
        <v>1308</v>
      </c>
      <c r="B309" s="5">
        <v>46000</v>
      </c>
      <c r="C309" s="4" t="s">
        <v>19</v>
      </c>
      <c r="D309" s="4" t="s">
        <v>16</v>
      </c>
      <c r="E309" s="4" t="s">
        <v>17</v>
      </c>
      <c r="F309" s="4">
        <v>10</v>
      </c>
      <c r="G309" s="4">
        <v>250</v>
      </c>
      <c r="H309" s="4">
        <v>2500</v>
      </c>
      <c r="I309" s="4">
        <v>1587.15</v>
      </c>
      <c r="J309" s="4">
        <v>912.85</v>
      </c>
      <c r="K309" s="7" t="s">
        <v>28</v>
      </c>
    </row>
    <row r="310" spans="1:11" x14ac:dyDescent="0.25">
      <c r="A310" s="6">
        <v>1309</v>
      </c>
      <c r="B310" s="5">
        <v>45899</v>
      </c>
      <c r="C310" s="4" t="s">
        <v>15</v>
      </c>
      <c r="D310" s="4" t="s">
        <v>12</v>
      </c>
      <c r="E310" s="4" t="s">
        <v>13</v>
      </c>
      <c r="F310" s="4">
        <v>1</v>
      </c>
      <c r="G310" s="4">
        <v>150</v>
      </c>
      <c r="H310" s="4">
        <v>150</v>
      </c>
      <c r="I310" s="4">
        <v>104.2</v>
      </c>
      <c r="J310" s="4">
        <v>45.8</v>
      </c>
      <c r="K310" s="7" t="s">
        <v>14</v>
      </c>
    </row>
    <row r="311" spans="1:11" x14ac:dyDescent="0.25">
      <c r="A311" s="6">
        <v>1310</v>
      </c>
      <c r="B311" s="5">
        <v>45901</v>
      </c>
      <c r="C311" s="4" t="s">
        <v>30</v>
      </c>
      <c r="D311" s="4" t="s">
        <v>16</v>
      </c>
      <c r="E311" s="4" t="s">
        <v>20</v>
      </c>
      <c r="F311" s="4">
        <v>9</v>
      </c>
      <c r="G311" s="4">
        <v>250</v>
      </c>
      <c r="H311" s="4">
        <v>2250</v>
      </c>
      <c r="I311" s="4">
        <v>1557.94</v>
      </c>
      <c r="J311" s="4">
        <v>692.06</v>
      </c>
      <c r="K311" s="7" t="s">
        <v>14</v>
      </c>
    </row>
    <row r="312" spans="1:11" x14ac:dyDescent="0.25">
      <c r="A312" s="6">
        <v>1311</v>
      </c>
      <c r="B312" s="5">
        <v>45703</v>
      </c>
      <c r="C312" s="4" t="s">
        <v>19</v>
      </c>
      <c r="D312" s="4" t="s">
        <v>16</v>
      </c>
      <c r="E312" s="4" t="s">
        <v>22</v>
      </c>
      <c r="F312" s="4">
        <v>6</v>
      </c>
      <c r="G312" s="4">
        <v>500</v>
      </c>
      <c r="H312" s="4">
        <v>3000</v>
      </c>
      <c r="I312" s="4">
        <v>2328.19</v>
      </c>
      <c r="J312" s="4">
        <v>671.81</v>
      </c>
      <c r="K312" s="7" t="s">
        <v>28</v>
      </c>
    </row>
    <row r="313" spans="1:11" x14ac:dyDescent="0.25">
      <c r="A313" s="6">
        <v>1312</v>
      </c>
      <c r="B313" s="5">
        <v>45748</v>
      </c>
      <c r="C313" s="4" t="s">
        <v>15</v>
      </c>
      <c r="D313" s="4" t="s">
        <v>12</v>
      </c>
      <c r="E313" s="4" t="s">
        <v>31</v>
      </c>
      <c r="F313" s="4">
        <v>1</v>
      </c>
      <c r="G313" s="4">
        <v>250</v>
      </c>
      <c r="H313" s="4">
        <v>250</v>
      </c>
      <c r="I313" s="4">
        <v>174.06</v>
      </c>
      <c r="J313" s="4">
        <v>75.94</v>
      </c>
      <c r="K313" s="7" t="s">
        <v>21</v>
      </c>
    </row>
    <row r="314" spans="1:11" x14ac:dyDescent="0.25">
      <c r="A314" s="6">
        <v>1313</v>
      </c>
      <c r="B314" s="5">
        <v>45948</v>
      </c>
      <c r="C314" s="4" t="s">
        <v>19</v>
      </c>
      <c r="D314" s="4" t="s">
        <v>23</v>
      </c>
      <c r="E314" s="4" t="s">
        <v>25</v>
      </c>
      <c r="F314" s="4">
        <v>5</v>
      </c>
      <c r="G314" s="4">
        <v>150</v>
      </c>
      <c r="H314" s="4">
        <v>750</v>
      </c>
      <c r="I314" s="4">
        <v>414.93</v>
      </c>
      <c r="J314" s="4">
        <v>335.07</v>
      </c>
      <c r="K314" s="7" t="s">
        <v>18</v>
      </c>
    </row>
    <row r="315" spans="1:11" x14ac:dyDescent="0.25">
      <c r="A315" s="6">
        <v>1314</v>
      </c>
      <c r="B315" s="5">
        <v>45910</v>
      </c>
      <c r="C315" s="4" t="s">
        <v>11</v>
      </c>
      <c r="D315" s="4" t="s">
        <v>23</v>
      </c>
      <c r="E315" s="4" t="s">
        <v>24</v>
      </c>
      <c r="F315" s="4">
        <v>8</v>
      </c>
      <c r="G315" s="4">
        <v>5000</v>
      </c>
      <c r="H315" s="4">
        <v>40000</v>
      </c>
      <c r="I315" s="4">
        <v>29606.21</v>
      </c>
      <c r="J315" s="4">
        <v>10393.790000000001</v>
      </c>
      <c r="K315" s="7" t="s">
        <v>29</v>
      </c>
    </row>
    <row r="316" spans="1:11" x14ac:dyDescent="0.25">
      <c r="A316" s="6">
        <v>1315</v>
      </c>
      <c r="B316" s="5">
        <v>45741</v>
      </c>
      <c r="C316" s="4" t="s">
        <v>30</v>
      </c>
      <c r="D316" s="4" t="s">
        <v>23</v>
      </c>
      <c r="E316" s="4" t="s">
        <v>24</v>
      </c>
      <c r="F316" s="4">
        <v>4</v>
      </c>
      <c r="G316" s="4">
        <v>12000</v>
      </c>
      <c r="H316" s="4">
        <v>48000</v>
      </c>
      <c r="I316" s="4">
        <v>28292.47</v>
      </c>
      <c r="J316" s="4">
        <v>19707.53</v>
      </c>
      <c r="K316" s="7" t="s">
        <v>14</v>
      </c>
    </row>
    <row r="317" spans="1:11" x14ac:dyDescent="0.25">
      <c r="A317" s="6">
        <v>1316</v>
      </c>
      <c r="B317" s="5">
        <v>45809</v>
      </c>
      <c r="C317" s="4" t="s">
        <v>19</v>
      </c>
      <c r="D317" s="4" t="s">
        <v>23</v>
      </c>
      <c r="E317" s="4" t="s">
        <v>26</v>
      </c>
      <c r="F317" s="4">
        <v>3</v>
      </c>
      <c r="G317" s="4">
        <v>150</v>
      </c>
      <c r="H317" s="4">
        <v>450</v>
      </c>
      <c r="I317" s="4">
        <v>363.52</v>
      </c>
      <c r="J317" s="4">
        <v>86.48</v>
      </c>
      <c r="K317" s="7" t="s">
        <v>14</v>
      </c>
    </row>
    <row r="318" spans="1:11" x14ac:dyDescent="0.25">
      <c r="A318" s="6">
        <v>1317</v>
      </c>
      <c r="B318" s="5">
        <v>45865</v>
      </c>
      <c r="C318" s="4" t="s">
        <v>30</v>
      </c>
      <c r="D318" s="4" t="s">
        <v>16</v>
      </c>
      <c r="E318" s="4" t="s">
        <v>20</v>
      </c>
      <c r="F318" s="4">
        <v>10</v>
      </c>
      <c r="G318" s="4">
        <v>12000</v>
      </c>
      <c r="H318" s="4">
        <v>120000</v>
      </c>
      <c r="I318" s="4">
        <v>92826.48</v>
      </c>
      <c r="J318" s="4">
        <v>27173.52</v>
      </c>
      <c r="K318" s="7" t="s">
        <v>29</v>
      </c>
    </row>
    <row r="319" spans="1:11" x14ac:dyDescent="0.25">
      <c r="A319" s="6">
        <v>1318</v>
      </c>
      <c r="B319" s="5">
        <v>45729</v>
      </c>
      <c r="C319" s="4" t="s">
        <v>30</v>
      </c>
      <c r="D319" s="4" t="s">
        <v>23</v>
      </c>
      <c r="E319" s="4" t="s">
        <v>25</v>
      </c>
      <c r="F319" s="4">
        <v>7</v>
      </c>
      <c r="G319" s="4">
        <v>5000</v>
      </c>
      <c r="H319" s="4">
        <v>35000</v>
      </c>
      <c r="I319" s="4">
        <v>20418.47</v>
      </c>
      <c r="J319" s="4">
        <v>14581.53</v>
      </c>
      <c r="K319" s="7" t="s">
        <v>27</v>
      </c>
    </row>
    <row r="320" spans="1:11" x14ac:dyDescent="0.25">
      <c r="A320" s="6">
        <v>1319</v>
      </c>
      <c r="B320" s="5">
        <v>45794</v>
      </c>
      <c r="C320" s="4" t="s">
        <v>32</v>
      </c>
      <c r="D320" s="4" t="s">
        <v>16</v>
      </c>
      <c r="E320" s="4" t="s">
        <v>20</v>
      </c>
      <c r="F320" s="4">
        <v>5</v>
      </c>
      <c r="G320" s="4">
        <v>1200</v>
      </c>
      <c r="H320" s="4">
        <v>6000</v>
      </c>
      <c r="I320" s="4">
        <v>3794.59</v>
      </c>
      <c r="J320" s="4">
        <v>2205.41</v>
      </c>
      <c r="K320" s="7" t="s">
        <v>27</v>
      </c>
    </row>
    <row r="321" spans="1:11" x14ac:dyDescent="0.25">
      <c r="A321" s="6">
        <v>1320</v>
      </c>
      <c r="B321" s="5">
        <v>45842</v>
      </c>
      <c r="C321" s="4" t="s">
        <v>11</v>
      </c>
      <c r="D321" s="4" t="s">
        <v>12</v>
      </c>
      <c r="E321" s="4" t="s">
        <v>31</v>
      </c>
      <c r="F321" s="4">
        <v>10</v>
      </c>
      <c r="G321" s="4">
        <v>150</v>
      </c>
      <c r="H321" s="4">
        <v>1500</v>
      </c>
      <c r="I321" s="4">
        <v>962.32</v>
      </c>
      <c r="J321" s="4">
        <v>537.67999999999995</v>
      </c>
      <c r="K321" s="7" t="s">
        <v>18</v>
      </c>
    </row>
    <row r="322" spans="1:11" x14ac:dyDescent="0.25">
      <c r="A322" s="6">
        <v>1321</v>
      </c>
      <c r="B322" s="5">
        <v>46009</v>
      </c>
      <c r="C322" s="4" t="s">
        <v>19</v>
      </c>
      <c r="D322" s="4" t="s">
        <v>12</v>
      </c>
      <c r="E322" s="4" t="s">
        <v>13</v>
      </c>
      <c r="F322" s="4">
        <v>8</v>
      </c>
      <c r="G322" s="4">
        <v>500</v>
      </c>
      <c r="H322" s="4">
        <v>4000</v>
      </c>
      <c r="I322" s="4">
        <v>2423.6</v>
      </c>
      <c r="J322" s="4">
        <v>1576.4</v>
      </c>
      <c r="K322" s="7" t="s">
        <v>14</v>
      </c>
    </row>
    <row r="323" spans="1:11" x14ac:dyDescent="0.25">
      <c r="A323" s="6">
        <v>1322</v>
      </c>
      <c r="B323" s="5">
        <v>45809</v>
      </c>
      <c r="C323" s="4" t="s">
        <v>32</v>
      </c>
      <c r="D323" s="4" t="s">
        <v>23</v>
      </c>
      <c r="E323" s="4" t="s">
        <v>26</v>
      </c>
      <c r="F323" s="4">
        <v>2</v>
      </c>
      <c r="G323" s="4">
        <v>5000</v>
      </c>
      <c r="H323" s="4">
        <v>10000</v>
      </c>
      <c r="I323" s="4">
        <v>8706.4599999999991</v>
      </c>
      <c r="J323" s="4">
        <v>1293.54</v>
      </c>
      <c r="K323" s="7" t="s">
        <v>29</v>
      </c>
    </row>
    <row r="324" spans="1:11" x14ac:dyDescent="0.25">
      <c r="A324" s="6">
        <v>1323</v>
      </c>
      <c r="B324" s="5">
        <v>45968</v>
      </c>
      <c r="C324" s="4" t="s">
        <v>32</v>
      </c>
      <c r="D324" s="4" t="s">
        <v>16</v>
      </c>
      <c r="E324" s="4" t="s">
        <v>20</v>
      </c>
      <c r="F324" s="4">
        <v>3</v>
      </c>
      <c r="G324" s="4">
        <v>1200</v>
      </c>
      <c r="H324" s="4">
        <v>3600</v>
      </c>
      <c r="I324" s="4">
        <v>2173.0100000000002</v>
      </c>
      <c r="J324" s="4">
        <v>1426.99</v>
      </c>
      <c r="K324" s="7" t="s">
        <v>21</v>
      </c>
    </row>
    <row r="325" spans="1:11" x14ac:dyDescent="0.25">
      <c r="A325" s="6">
        <v>1324</v>
      </c>
      <c r="B325" s="5">
        <v>45998</v>
      </c>
      <c r="C325" s="4" t="s">
        <v>11</v>
      </c>
      <c r="D325" s="4" t="s">
        <v>12</v>
      </c>
      <c r="E325" s="4" t="s">
        <v>31</v>
      </c>
      <c r="F325" s="4">
        <v>8</v>
      </c>
      <c r="G325" s="4">
        <v>12000</v>
      </c>
      <c r="H325" s="4">
        <v>96000</v>
      </c>
      <c r="I325" s="4">
        <v>70860.59</v>
      </c>
      <c r="J325" s="4">
        <v>25139.41</v>
      </c>
      <c r="K325" s="7" t="s">
        <v>28</v>
      </c>
    </row>
    <row r="326" spans="1:11" x14ac:dyDescent="0.25">
      <c r="A326" s="6">
        <v>1325</v>
      </c>
      <c r="B326" s="5">
        <v>46018</v>
      </c>
      <c r="C326" s="4" t="s">
        <v>32</v>
      </c>
      <c r="D326" s="4" t="s">
        <v>12</v>
      </c>
      <c r="E326" s="4" t="s">
        <v>31</v>
      </c>
      <c r="F326" s="4">
        <v>2</v>
      </c>
      <c r="G326" s="4">
        <v>2500</v>
      </c>
      <c r="H326" s="4">
        <v>5000</v>
      </c>
      <c r="I326" s="4">
        <v>3531.81</v>
      </c>
      <c r="J326" s="4">
        <v>1468.19</v>
      </c>
      <c r="K326" s="7" t="s">
        <v>18</v>
      </c>
    </row>
    <row r="327" spans="1:11" x14ac:dyDescent="0.25">
      <c r="A327" s="6">
        <v>1326</v>
      </c>
      <c r="B327" s="5">
        <v>45916</v>
      </c>
      <c r="C327" s="4" t="s">
        <v>11</v>
      </c>
      <c r="D327" s="4" t="s">
        <v>12</v>
      </c>
      <c r="E327" s="4" t="s">
        <v>13</v>
      </c>
      <c r="F327" s="4">
        <v>1</v>
      </c>
      <c r="G327" s="4">
        <v>12000</v>
      </c>
      <c r="H327" s="4">
        <v>12000</v>
      </c>
      <c r="I327" s="4">
        <v>8900.1299999999992</v>
      </c>
      <c r="J327" s="4">
        <v>3099.87</v>
      </c>
      <c r="K327" s="7" t="s">
        <v>29</v>
      </c>
    </row>
    <row r="328" spans="1:11" x14ac:dyDescent="0.25">
      <c r="A328" s="6">
        <v>1327</v>
      </c>
      <c r="B328" s="5">
        <v>45884</v>
      </c>
      <c r="C328" s="4" t="s">
        <v>15</v>
      </c>
      <c r="D328" s="4" t="s">
        <v>12</v>
      </c>
      <c r="E328" s="4" t="s">
        <v>13</v>
      </c>
      <c r="F328" s="4">
        <v>3</v>
      </c>
      <c r="G328" s="4">
        <v>500</v>
      </c>
      <c r="H328" s="4">
        <v>1500</v>
      </c>
      <c r="I328" s="4">
        <v>1273.6099999999999</v>
      </c>
      <c r="J328" s="4">
        <v>226.39</v>
      </c>
      <c r="K328" s="7" t="s">
        <v>14</v>
      </c>
    </row>
    <row r="329" spans="1:11" x14ac:dyDescent="0.25">
      <c r="A329" s="6">
        <v>1328</v>
      </c>
      <c r="B329" s="5">
        <v>45919</v>
      </c>
      <c r="C329" s="4" t="s">
        <v>30</v>
      </c>
      <c r="D329" s="4" t="s">
        <v>16</v>
      </c>
      <c r="E329" s="4" t="s">
        <v>17</v>
      </c>
      <c r="F329" s="4">
        <v>10</v>
      </c>
      <c r="G329" s="4">
        <v>1200</v>
      </c>
      <c r="H329" s="4">
        <v>12000</v>
      </c>
      <c r="I329" s="4">
        <v>6981.95</v>
      </c>
      <c r="J329" s="4">
        <v>5018.05</v>
      </c>
      <c r="K329" s="7" t="s">
        <v>18</v>
      </c>
    </row>
    <row r="330" spans="1:11" x14ac:dyDescent="0.25">
      <c r="A330" s="6">
        <v>1329</v>
      </c>
      <c r="B330" s="5">
        <v>45687</v>
      </c>
      <c r="C330" s="4" t="s">
        <v>19</v>
      </c>
      <c r="D330" s="4" t="s">
        <v>23</v>
      </c>
      <c r="E330" s="4" t="s">
        <v>25</v>
      </c>
      <c r="F330" s="4">
        <v>9</v>
      </c>
      <c r="G330" s="4">
        <v>1200</v>
      </c>
      <c r="H330" s="4">
        <v>10800</v>
      </c>
      <c r="I330" s="4">
        <v>7666.7</v>
      </c>
      <c r="J330" s="4">
        <v>3133.3</v>
      </c>
      <c r="K330" s="7" t="s">
        <v>21</v>
      </c>
    </row>
    <row r="331" spans="1:11" x14ac:dyDescent="0.25">
      <c r="A331" s="6">
        <v>1330</v>
      </c>
      <c r="B331" s="5">
        <v>45659</v>
      </c>
      <c r="C331" s="4" t="s">
        <v>11</v>
      </c>
      <c r="D331" s="4" t="s">
        <v>12</v>
      </c>
      <c r="E331" s="4" t="s">
        <v>33</v>
      </c>
      <c r="F331" s="4">
        <v>1</v>
      </c>
      <c r="G331" s="4">
        <v>1200</v>
      </c>
      <c r="H331" s="4">
        <v>1200</v>
      </c>
      <c r="I331" s="4">
        <v>766.87</v>
      </c>
      <c r="J331" s="4">
        <v>433.13</v>
      </c>
      <c r="K331" s="7" t="s">
        <v>29</v>
      </c>
    </row>
    <row r="332" spans="1:11" x14ac:dyDescent="0.25">
      <c r="A332" s="6">
        <v>1331</v>
      </c>
      <c r="B332" s="5">
        <v>45935</v>
      </c>
      <c r="C332" s="4" t="s">
        <v>15</v>
      </c>
      <c r="D332" s="4" t="s">
        <v>16</v>
      </c>
      <c r="E332" s="4" t="s">
        <v>20</v>
      </c>
      <c r="F332" s="4">
        <v>7</v>
      </c>
      <c r="G332" s="4">
        <v>500</v>
      </c>
      <c r="H332" s="4">
        <v>3500</v>
      </c>
      <c r="I332" s="4">
        <v>2782.97</v>
      </c>
      <c r="J332" s="4">
        <v>717.03</v>
      </c>
      <c r="K332" s="7" t="s">
        <v>18</v>
      </c>
    </row>
    <row r="333" spans="1:11" x14ac:dyDescent="0.25">
      <c r="A333" s="6">
        <v>1332</v>
      </c>
      <c r="B333" s="5">
        <v>45727</v>
      </c>
      <c r="C333" s="4" t="s">
        <v>30</v>
      </c>
      <c r="D333" s="4" t="s">
        <v>23</v>
      </c>
      <c r="E333" s="4" t="s">
        <v>25</v>
      </c>
      <c r="F333" s="4">
        <v>5</v>
      </c>
      <c r="G333" s="4">
        <v>1200</v>
      </c>
      <c r="H333" s="4">
        <v>6000</v>
      </c>
      <c r="I333" s="4">
        <v>3677.96</v>
      </c>
      <c r="J333" s="4">
        <v>2322.04</v>
      </c>
      <c r="K333" s="7" t="s">
        <v>27</v>
      </c>
    </row>
    <row r="334" spans="1:11" x14ac:dyDescent="0.25">
      <c r="A334" s="6">
        <v>1333</v>
      </c>
      <c r="B334" s="5">
        <v>45996</v>
      </c>
      <c r="C334" s="4" t="s">
        <v>19</v>
      </c>
      <c r="D334" s="4" t="s">
        <v>23</v>
      </c>
      <c r="E334" s="4" t="s">
        <v>24</v>
      </c>
      <c r="F334" s="4">
        <v>7</v>
      </c>
      <c r="G334" s="4">
        <v>1200</v>
      </c>
      <c r="H334" s="4">
        <v>8400</v>
      </c>
      <c r="I334" s="4">
        <v>4855.93</v>
      </c>
      <c r="J334" s="4">
        <v>3544.07</v>
      </c>
      <c r="K334" s="7" t="s">
        <v>28</v>
      </c>
    </row>
    <row r="335" spans="1:11" x14ac:dyDescent="0.25">
      <c r="A335" s="6">
        <v>1334</v>
      </c>
      <c r="B335" s="5">
        <v>45859</v>
      </c>
      <c r="C335" s="4" t="s">
        <v>19</v>
      </c>
      <c r="D335" s="4" t="s">
        <v>12</v>
      </c>
      <c r="E335" s="4" t="s">
        <v>33</v>
      </c>
      <c r="F335" s="4">
        <v>2</v>
      </c>
      <c r="G335" s="4">
        <v>250</v>
      </c>
      <c r="H335" s="4">
        <v>500</v>
      </c>
      <c r="I335" s="4">
        <v>448.75</v>
      </c>
      <c r="J335" s="4">
        <v>51.25</v>
      </c>
      <c r="K335" s="7" t="s">
        <v>28</v>
      </c>
    </row>
    <row r="336" spans="1:11" x14ac:dyDescent="0.25">
      <c r="A336" s="6">
        <v>1335</v>
      </c>
      <c r="B336" s="5">
        <v>45810</v>
      </c>
      <c r="C336" s="4" t="s">
        <v>30</v>
      </c>
      <c r="D336" s="4" t="s">
        <v>12</v>
      </c>
      <c r="E336" s="4" t="s">
        <v>13</v>
      </c>
      <c r="F336" s="4">
        <v>1</v>
      </c>
      <c r="G336" s="4">
        <v>12000</v>
      </c>
      <c r="H336" s="4">
        <v>12000</v>
      </c>
      <c r="I336" s="4">
        <v>6695.49</v>
      </c>
      <c r="J336" s="4">
        <v>5304.51</v>
      </c>
      <c r="K336" s="7" t="s">
        <v>14</v>
      </c>
    </row>
    <row r="337" spans="1:11" x14ac:dyDescent="0.25">
      <c r="A337" s="6">
        <v>1336</v>
      </c>
      <c r="B337" s="5">
        <v>45775</v>
      </c>
      <c r="C337" s="4" t="s">
        <v>11</v>
      </c>
      <c r="D337" s="4" t="s">
        <v>12</v>
      </c>
      <c r="E337" s="4" t="s">
        <v>31</v>
      </c>
      <c r="F337" s="4">
        <v>7</v>
      </c>
      <c r="G337" s="4">
        <v>2500</v>
      </c>
      <c r="H337" s="4">
        <v>17500</v>
      </c>
      <c r="I337" s="4">
        <v>11948.07</v>
      </c>
      <c r="J337" s="4">
        <v>5551.93</v>
      </c>
      <c r="K337" s="7" t="s">
        <v>21</v>
      </c>
    </row>
    <row r="338" spans="1:11" x14ac:dyDescent="0.25">
      <c r="A338" s="6">
        <v>1337</v>
      </c>
      <c r="B338" s="5">
        <v>45715</v>
      </c>
      <c r="C338" s="4" t="s">
        <v>15</v>
      </c>
      <c r="D338" s="4" t="s">
        <v>23</v>
      </c>
      <c r="E338" s="4" t="s">
        <v>25</v>
      </c>
      <c r="F338" s="4">
        <v>5</v>
      </c>
      <c r="G338" s="4">
        <v>250</v>
      </c>
      <c r="H338" s="4">
        <v>1250</v>
      </c>
      <c r="I338" s="4">
        <v>1097.6199999999999</v>
      </c>
      <c r="J338" s="4">
        <v>152.38</v>
      </c>
      <c r="K338" s="7" t="s">
        <v>14</v>
      </c>
    </row>
    <row r="339" spans="1:11" x14ac:dyDescent="0.25">
      <c r="A339" s="6">
        <v>1338</v>
      </c>
      <c r="B339" s="5">
        <v>45709</v>
      </c>
      <c r="C339" s="4" t="s">
        <v>19</v>
      </c>
      <c r="D339" s="4" t="s">
        <v>23</v>
      </c>
      <c r="E339" s="4" t="s">
        <v>26</v>
      </c>
      <c r="F339" s="4">
        <v>1</v>
      </c>
      <c r="G339" s="4">
        <v>250</v>
      </c>
      <c r="H339" s="4">
        <v>250</v>
      </c>
      <c r="I339" s="4">
        <v>155.53</v>
      </c>
      <c r="J339" s="4">
        <v>94.47</v>
      </c>
      <c r="K339" s="7" t="s">
        <v>18</v>
      </c>
    </row>
    <row r="340" spans="1:11" x14ac:dyDescent="0.25">
      <c r="A340" s="6">
        <v>1339</v>
      </c>
      <c r="B340" s="5">
        <v>45863</v>
      </c>
      <c r="C340" s="4" t="s">
        <v>30</v>
      </c>
      <c r="D340" s="4" t="s">
        <v>23</v>
      </c>
      <c r="E340" s="4" t="s">
        <v>26</v>
      </c>
      <c r="F340" s="4">
        <v>1</v>
      </c>
      <c r="G340" s="4">
        <v>250</v>
      </c>
      <c r="H340" s="4">
        <v>250</v>
      </c>
      <c r="I340" s="4">
        <v>202.3</v>
      </c>
      <c r="J340" s="4">
        <v>47.7</v>
      </c>
      <c r="K340" s="7" t="s">
        <v>28</v>
      </c>
    </row>
    <row r="341" spans="1:11" x14ac:dyDescent="0.25">
      <c r="A341" s="6">
        <v>1340</v>
      </c>
      <c r="B341" s="5">
        <v>45806</v>
      </c>
      <c r="C341" s="4" t="s">
        <v>11</v>
      </c>
      <c r="D341" s="4" t="s">
        <v>12</v>
      </c>
      <c r="E341" s="4" t="s">
        <v>13</v>
      </c>
      <c r="F341" s="4">
        <v>1</v>
      </c>
      <c r="G341" s="4">
        <v>250</v>
      </c>
      <c r="H341" s="4">
        <v>250</v>
      </c>
      <c r="I341" s="4">
        <v>181.59</v>
      </c>
      <c r="J341" s="4">
        <v>68.41</v>
      </c>
      <c r="K341" s="7" t="s">
        <v>14</v>
      </c>
    </row>
    <row r="342" spans="1:11" x14ac:dyDescent="0.25">
      <c r="A342" s="6">
        <v>1341</v>
      </c>
      <c r="B342" s="5">
        <v>45822</v>
      </c>
      <c r="C342" s="4" t="s">
        <v>11</v>
      </c>
      <c r="D342" s="4" t="s">
        <v>12</v>
      </c>
      <c r="E342" s="4" t="s">
        <v>33</v>
      </c>
      <c r="F342" s="4">
        <v>10</v>
      </c>
      <c r="G342" s="4">
        <v>2500</v>
      </c>
      <c r="H342" s="4">
        <v>25000</v>
      </c>
      <c r="I342" s="4">
        <v>20509.71</v>
      </c>
      <c r="J342" s="4">
        <v>4490.29</v>
      </c>
      <c r="K342" s="7" t="s">
        <v>27</v>
      </c>
    </row>
    <row r="343" spans="1:11" x14ac:dyDescent="0.25">
      <c r="A343" s="6">
        <v>1342</v>
      </c>
      <c r="B343" s="5">
        <v>45798</v>
      </c>
      <c r="C343" s="4" t="s">
        <v>15</v>
      </c>
      <c r="D343" s="4" t="s">
        <v>16</v>
      </c>
      <c r="E343" s="4" t="s">
        <v>17</v>
      </c>
      <c r="F343" s="4">
        <v>9</v>
      </c>
      <c r="G343" s="4">
        <v>250</v>
      </c>
      <c r="H343" s="4">
        <v>2250</v>
      </c>
      <c r="I343" s="4">
        <v>1563.18</v>
      </c>
      <c r="J343" s="4">
        <v>686.82</v>
      </c>
      <c r="K343" s="7" t="s">
        <v>29</v>
      </c>
    </row>
    <row r="344" spans="1:11" x14ac:dyDescent="0.25">
      <c r="A344" s="6">
        <v>1343</v>
      </c>
      <c r="B344" s="5">
        <v>45942</v>
      </c>
      <c r="C344" s="4" t="s">
        <v>30</v>
      </c>
      <c r="D344" s="4" t="s">
        <v>12</v>
      </c>
      <c r="E344" s="4" t="s">
        <v>31</v>
      </c>
      <c r="F344" s="4">
        <v>3</v>
      </c>
      <c r="G344" s="4">
        <v>5000</v>
      </c>
      <c r="H344" s="4">
        <v>15000</v>
      </c>
      <c r="I344" s="4">
        <v>11813.44</v>
      </c>
      <c r="J344" s="4">
        <v>3186.56</v>
      </c>
      <c r="K344" s="7" t="s">
        <v>18</v>
      </c>
    </row>
    <row r="345" spans="1:11" x14ac:dyDescent="0.25">
      <c r="A345" s="6">
        <v>1344</v>
      </c>
      <c r="B345" s="5">
        <v>46014</v>
      </c>
      <c r="C345" s="4" t="s">
        <v>30</v>
      </c>
      <c r="D345" s="4" t="s">
        <v>23</v>
      </c>
      <c r="E345" s="4" t="s">
        <v>26</v>
      </c>
      <c r="F345" s="4">
        <v>7</v>
      </c>
      <c r="G345" s="4">
        <v>12000</v>
      </c>
      <c r="H345" s="4">
        <v>84000</v>
      </c>
      <c r="I345" s="4">
        <v>61619.21</v>
      </c>
      <c r="J345" s="4">
        <v>22380.79</v>
      </c>
      <c r="K345" s="7" t="s">
        <v>21</v>
      </c>
    </row>
    <row r="346" spans="1:11" x14ac:dyDescent="0.25">
      <c r="A346" s="6">
        <v>1345</v>
      </c>
      <c r="B346" s="5">
        <v>45900</v>
      </c>
      <c r="C346" s="4" t="s">
        <v>11</v>
      </c>
      <c r="D346" s="4" t="s">
        <v>16</v>
      </c>
      <c r="E346" s="4" t="s">
        <v>22</v>
      </c>
      <c r="F346" s="4">
        <v>7</v>
      </c>
      <c r="G346" s="4">
        <v>250</v>
      </c>
      <c r="H346" s="4">
        <v>1750</v>
      </c>
      <c r="I346" s="4">
        <v>1424.58</v>
      </c>
      <c r="J346" s="4">
        <v>325.42</v>
      </c>
      <c r="K346" s="7" t="s">
        <v>28</v>
      </c>
    </row>
    <row r="347" spans="1:11" x14ac:dyDescent="0.25">
      <c r="A347" s="6">
        <v>1346</v>
      </c>
      <c r="B347" s="5">
        <v>45687</v>
      </c>
      <c r="C347" s="4" t="s">
        <v>19</v>
      </c>
      <c r="D347" s="4" t="s">
        <v>23</v>
      </c>
      <c r="E347" s="4" t="s">
        <v>26</v>
      </c>
      <c r="F347" s="4">
        <v>3</v>
      </c>
      <c r="G347" s="4">
        <v>12000</v>
      </c>
      <c r="H347" s="4">
        <v>36000</v>
      </c>
      <c r="I347" s="4">
        <v>25634.12</v>
      </c>
      <c r="J347" s="4">
        <v>10365.879999999999</v>
      </c>
      <c r="K347" s="7" t="s">
        <v>21</v>
      </c>
    </row>
    <row r="348" spans="1:11" x14ac:dyDescent="0.25">
      <c r="A348" s="6">
        <v>1347</v>
      </c>
      <c r="B348" s="5">
        <v>45788</v>
      </c>
      <c r="C348" s="4" t="s">
        <v>11</v>
      </c>
      <c r="D348" s="4" t="s">
        <v>23</v>
      </c>
      <c r="E348" s="4" t="s">
        <v>26</v>
      </c>
      <c r="F348" s="4">
        <v>9</v>
      </c>
      <c r="G348" s="4">
        <v>250</v>
      </c>
      <c r="H348" s="4">
        <v>2250</v>
      </c>
      <c r="I348" s="4">
        <v>1543.38</v>
      </c>
      <c r="J348" s="4">
        <v>706.62</v>
      </c>
      <c r="K348" s="7" t="s">
        <v>27</v>
      </c>
    </row>
    <row r="349" spans="1:11" x14ac:dyDescent="0.25">
      <c r="A349" s="6">
        <v>1348</v>
      </c>
      <c r="B349" s="5">
        <v>45932</v>
      </c>
      <c r="C349" s="4" t="s">
        <v>11</v>
      </c>
      <c r="D349" s="4" t="s">
        <v>12</v>
      </c>
      <c r="E349" s="4" t="s">
        <v>13</v>
      </c>
      <c r="F349" s="4">
        <v>8</v>
      </c>
      <c r="G349" s="4">
        <v>12000</v>
      </c>
      <c r="H349" s="4">
        <v>96000</v>
      </c>
      <c r="I349" s="4">
        <v>65268.2</v>
      </c>
      <c r="J349" s="4">
        <v>30731.8</v>
      </c>
      <c r="K349" s="7" t="s">
        <v>18</v>
      </c>
    </row>
    <row r="350" spans="1:11" x14ac:dyDescent="0.25">
      <c r="A350" s="6">
        <v>1349</v>
      </c>
      <c r="B350" s="5">
        <v>45695</v>
      </c>
      <c r="C350" s="4" t="s">
        <v>11</v>
      </c>
      <c r="D350" s="4" t="s">
        <v>23</v>
      </c>
      <c r="E350" s="4" t="s">
        <v>24</v>
      </c>
      <c r="F350" s="4">
        <v>10</v>
      </c>
      <c r="G350" s="4">
        <v>2500</v>
      </c>
      <c r="H350" s="4">
        <v>25000</v>
      </c>
      <c r="I350" s="4">
        <v>14096.04</v>
      </c>
      <c r="J350" s="4">
        <v>10903.96</v>
      </c>
      <c r="K350" s="7" t="s">
        <v>29</v>
      </c>
    </row>
    <row r="351" spans="1:11" x14ac:dyDescent="0.25">
      <c r="A351" s="6">
        <v>1350</v>
      </c>
      <c r="B351" s="5">
        <v>45828</v>
      </c>
      <c r="C351" s="4" t="s">
        <v>32</v>
      </c>
      <c r="D351" s="4" t="s">
        <v>12</v>
      </c>
      <c r="E351" s="4" t="s">
        <v>31</v>
      </c>
      <c r="F351" s="4">
        <v>9</v>
      </c>
      <c r="G351" s="4">
        <v>250</v>
      </c>
      <c r="H351" s="4">
        <v>2250</v>
      </c>
      <c r="I351" s="4">
        <v>1615.02</v>
      </c>
      <c r="J351" s="4">
        <v>634.98</v>
      </c>
      <c r="K351" s="7" t="s">
        <v>18</v>
      </c>
    </row>
    <row r="352" spans="1:11" x14ac:dyDescent="0.25">
      <c r="A352" s="6">
        <v>1351</v>
      </c>
      <c r="B352" s="5">
        <v>45903</v>
      </c>
      <c r="C352" s="4" t="s">
        <v>11</v>
      </c>
      <c r="D352" s="4" t="s">
        <v>16</v>
      </c>
      <c r="E352" s="4" t="s">
        <v>20</v>
      </c>
      <c r="F352" s="4">
        <v>2</v>
      </c>
      <c r="G352" s="4">
        <v>5000</v>
      </c>
      <c r="H352" s="4">
        <v>10000</v>
      </c>
      <c r="I352" s="4">
        <v>8998.5</v>
      </c>
      <c r="J352" s="4">
        <v>1001.5</v>
      </c>
      <c r="K352" s="7" t="s">
        <v>14</v>
      </c>
    </row>
    <row r="353" spans="1:11" x14ac:dyDescent="0.25">
      <c r="A353" s="6">
        <v>1352</v>
      </c>
      <c r="B353" s="5">
        <v>45940</v>
      </c>
      <c r="C353" s="4" t="s">
        <v>32</v>
      </c>
      <c r="D353" s="4" t="s">
        <v>12</v>
      </c>
      <c r="E353" s="4" t="s">
        <v>31</v>
      </c>
      <c r="F353" s="4">
        <v>4</v>
      </c>
      <c r="G353" s="4">
        <v>1200</v>
      </c>
      <c r="H353" s="4">
        <v>4800</v>
      </c>
      <c r="I353" s="4">
        <v>4177.41</v>
      </c>
      <c r="J353" s="4">
        <v>622.59</v>
      </c>
      <c r="K353" s="7" t="s">
        <v>27</v>
      </c>
    </row>
    <row r="354" spans="1:11" x14ac:dyDescent="0.25">
      <c r="A354" s="6">
        <v>1353</v>
      </c>
      <c r="B354" s="5">
        <v>45791</v>
      </c>
      <c r="C354" s="4" t="s">
        <v>32</v>
      </c>
      <c r="D354" s="4" t="s">
        <v>23</v>
      </c>
      <c r="E354" s="4" t="s">
        <v>24</v>
      </c>
      <c r="F354" s="4">
        <v>9</v>
      </c>
      <c r="G354" s="4">
        <v>5000</v>
      </c>
      <c r="H354" s="4">
        <v>45000</v>
      </c>
      <c r="I354" s="4">
        <v>30408.34</v>
      </c>
      <c r="J354" s="4">
        <v>14591.66</v>
      </c>
      <c r="K354" s="7" t="s">
        <v>29</v>
      </c>
    </row>
    <row r="355" spans="1:11" x14ac:dyDescent="0.25">
      <c r="A355" s="6">
        <v>1354</v>
      </c>
      <c r="B355" s="5">
        <v>45898</v>
      </c>
      <c r="C355" s="4" t="s">
        <v>32</v>
      </c>
      <c r="D355" s="4" t="s">
        <v>23</v>
      </c>
      <c r="E355" s="4" t="s">
        <v>24</v>
      </c>
      <c r="F355" s="4">
        <v>2</v>
      </c>
      <c r="G355" s="4">
        <v>12000</v>
      </c>
      <c r="H355" s="4">
        <v>24000</v>
      </c>
      <c r="I355" s="4">
        <v>21443.08</v>
      </c>
      <c r="J355" s="4">
        <v>2556.92</v>
      </c>
      <c r="K355" s="7" t="s">
        <v>28</v>
      </c>
    </row>
    <row r="356" spans="1:11" x14ac:dyDescent="0.25">
      <c r="A356" s="6">
        <v>1355</v>
      </c>
      <c r="B356" s="5">
        <v>45771</v>
      </c>
      <c r="C356" s="4" t="s">
        <v>11</v>
      </c>
      <c r="D356" s="4" t="s">
        <v>23</v>
      </c>
      <c r="E356" s="4" t="s">
        <v>24</v>
      </c>
      <c r="F356" s="4">
        <v>7</v>
      </c>
      <c r="G356" s="4">
        <v>150</v>
      </c>
      <c r="H356" s="4">
        <v>1050</v>
      </c>
      <c r="I356" s="4">
        <v>784.23</v>
      </c>
      <c r="J356" s="4">
        <v>265.77</v>
      </c>
      <c r="K356" s="7" t="s">
        <v>18</v>
      </c>
    </row>
    <row r="357" spans="1:11" x14ac:dyDescent="0.25">
      <c r="A357" s="6">
        <v>1356</v>
      </c>
      <c r="B357" s="5">
        <v>45809</v>
      </c>
      <c r="C357" s="4" t="s">
        <v>11</v>
      </c>
      <c r="D357" s="4" t="s">
        <v>23</v>
      </c>
      <c r="E357" s="4" t="s">
        <v>26</v>
      </c>
      <c r="F357" s="4">
        <v>10</v>
      </c>
      <c r="G357" s="4">
        <v>2500</v>
      </c>
      <c r="H357" s="4">
        <v>25000</v>
      </c>
      <c r="I357" s="4">
        <v>20050.099999999999</v>
      </c>
      <c r="J357" s="4">
        <v>4949.8999999999996</v>
      </c>
      <c r="K357" s="7" t="s">
        <v>28</v>
      </c>
    </row>
    <row r="358" spans="1:11" x14ac:dyDescent="0.25">
      <c r="A358" s="6">
        <v>1357</v>
      </c>
      <c r="B358" s="5">
        <v>45913</v>
      </c>
      <c r="C358" s="4" t="s">
        <v>19</v>
      </c>
      <c r="D358" s="4" t="s">
        <v>23</v>
      </c>
      <c r="E358" s="4" t="s">
        <v>25</v>
      </c>
      <c r="F358" s="4">
        <v>7</v>
      </c>
      <c r="G358" s="4">
        <v>2500</v>
      </c>
      <c r="H358" s="4">
        <v>17500</v>
      </c>
      <c r="I358" s="4">
        <v>14729.35</v>
      </c>
      <c r="J358" s="4">
        <v>2770.65</v>
      </c>
      <c r="K358" s="7" t="s">
        <v>14</v>
      </c>
    </row>
    <row r="359" spans="1:11" x14ac:dyDescent="0.25">
      <c r="A359" s="6">
        <v>1358</v>
      </c>
      <c r="B359" s="5">
        <v>45986</v>
      </c>
      <c r="C359" s="4" t="s">
        <v>30</v>
      </c>
      <c r="D359" s="4" t="s">
        <v>12</v>
      </c>
      <c r="E359" s="4" t="s">
        <v>33</v>
      </c>
      <c r="F359" s="4">
        <v>5</v>
      </c>
      <c r="G359" s="4">
        <v>12000</v>
      </c>
      <c r="H359" s="4">
        <v>60000</v>
      </c>
      <c r="I359" s="4">
        <v>50253.43</v>
      </c>
      <c r="J359" s="4">
        <v>9746.57</v>
      </c>
      <c r="K359" s="7" t="s">
        <v>21</v>
      </c>
    </row>
    <row r="360" spans="1:11" x14ac:dyDescent="0.25">
      <c r="A360" s="6">
        <v>1359</v>
      </c>
      <c r="B360" s="5">
        <v>45937</v>
      </c>
      <c r="C360" s="4" t="s">
        <v>30</v>
      </c>
      <c r="D360" s="4" t="s">
        <v>16</v>
      </c>
      <c r="E360" s="4" t="s">
        <v>17</v>
      </c>
      <c r="F360" s="4">
        <v>6</v>
      </c>
      <c r="G360" s="4">
        <v>250</v>
      </c>
      <c r="H360" s="4">
        <v>1500</v>
      </c>
      <c r="I360" s="4">
        <v>898.48</v>
      </c>
      <c r="J360" s="4">
        <v>601.52</v>
      </c>
      <c r="K360" s="7" t="s">
        <v>28</v>
      </c>
    </row>
    <row r="361" spans="1:11" x14ac:dyDescent="0.25">
      <c r="A361" s="6">
        <v>1360</v>
      </c>
      <c r="B361" s="5">
        <v>45696</v>
      </c>
      <c r="C361" s="4" t="s">
        <v>15</v>
      </c>
      <c r="D361" s="4" t="s">
        <v>12</v>
      </c>
      <c r="E361" s="4" t="s">
        <v>31</v>
      </c>
      <c r="F361" s="4">
        <v>1</v>
      </c>
      <c r="G361" s="4">
        <v>2500</v>
      </c>
      <c r="H361" s="4">
        <v>2500</v>
      </c>
      <c r="I361" s="4">
        <v>1404.6</v>
      </c>
      <c r="J361" s="4">
        <v>1095.4000000000001</v>
      </c>
      <c r="K361" s="7" t="s">
        <v>18</v>
      </c>
    </row>
    <row r="362" spans="1:11" x14ac:dyDescent="0.25">
      <c r="A362" s="6">
        <v>1361</v>
      </c>
      <c r="B362" s="5">
        <v>45662</v>
      </c>
      <c r="C362" s="4" t="s">
        <v>11</v>
      </c>
      <c r="D362" s="4" t="s">
        <v>23</v>
      </c>
      <c r="E362" s="4" t="s">
        <v>25</v>
      </c>
      <c r="F362" s="4">
        <v>4</v>
      </c>
      <c r="G362" s="4">
        <v>150</v>
      </c>
      <c r="H362" s="4">
        <v>600</v>
      </c>
      <c r="I362" s="4">
        <v>478.51</v>
      </c>
      <c r="J362" s="4">
        <v>121.49</v>
      </c>
      <c r="K362" s="7" t="s">
        <v>29</v>
      </c>
    </row>
    <row r="363" spans="1:11" x14ac:dyDescent="0.25">
      <c r="A363" s="6">
        <v>1362</v>
      </c>
      <c r="B363" s="5">
        <v>45973</v>
      </c>
      <c r="C363" s="4" t="s">
        <v>30</v>
      </c>
      <c r="D363" s="4" t="s">
        <v>23</v>
      </c>
      <c r="E363" s="4" t="s">
        <v>24</v>
      </c>
      <c r="F363" s="4">
        <v>1</v>
      </c>
      <c r="G363" s="4">
        <v>2500</v>
      </c>
      <c r="H363" s="4">
        <v>2500</v>
      </c>
      <c r="I363" s="4">
        <v>1933.01</v>
      </c>
      <c r="J363" s="4">
        <v>566.99</v>
      </c>
      <c r="K363" s="7" t="s">
        <v>14</v>
      </c>
    </row>
    <row r="364" spans="1:11" x14ac:dyDescent="0.25">
      <c r="A364" s="6">
        <v>1363</v>
      </c>
      <c r="B364" s="5">
        <v>45664</v>
      </c>
      <c r="C364" s="4" t="s">
        <v>15</v>
      </c>
      <c r="D364" s="4" t="s">
        <v>23</v>
      </c>
      <c r="E364" s="4" t="s">
        <v>25</v>
      </c>
      <c r="F364" s="4">
        <v>1</v>
      </c>
      <c r="G364" s="4">
        <v>2500</v>
      </c>
      <c r="H364" s="4">
        <v>2500</v>
      </c>
      <c r="I364" s="4">
        <v>1857.69</v>
      </c>
      <c r="J364" s="4">
        <v>642.30999999999995</v>
      </c>
      <c r="K364" s="7" t="s">
        <v>29</v>
      </c>
    </row>
    <row r="365" spans="1:11" x14ac:dyDescent="0.25">
      <c r="A365" s="6">
        <v>1364</v>
      </c>
      <c r="B365" s="5">
        <v>46015</v>
      </c>
      <c r="C365" s="4" t="s">
        <v>30</v>
      </c>
      <c r="D365" s="4" t="s">
        <v>12</v>
      </c>
      <c r="E365" s="4" t="s">
        <v>33</v>
      </c>
      <c r="F365" s="4">
        <v>9</v>
      </c>
      <c r="G365" s="4">
        <v>500</v>
      </c>
      <c r="H365" s="4">
        <v>4500</v>
      </c>
      <c r="I365" s="4">
        <v>2502</v>
      </c>
      <c r="J365" s="4">
        <v>1998</v>
      </c>
      <c r="K365" s="7" t="s">
        <v>28</v>
      </c>
    </row>
    <row r="366" spans="1:11" x14ac:dyDescent="0.25">
      <c r="A366" s="6">
        <v>1365</v>
      </c>
      <c r="B366" s="5">
        <v>45975</v>
      </c>
      <c r="C366" s="4" t="s">
        <v>19</v>
      </c>
      <c r="D366" s="4" t="s">
        <v>16</v>
      </c>
      <c r="E366" s="4" t="s">
        <v>20</v>
      </c>
      <c r="F366" s="4">
        <v>9</v>
      </c>
      <c r="G366" s="4">
        <v>250</v>
      </c>
      <c r="H366" s="4">
        <v>2250</v>
      </c>
      <c r="I366" s="4">
        <v>1427.26</v>
      </c>
      <c r="J366" s="4">
        <v>822.74</v>
      </c>
      <c r="K366" s="7" t="s">
        <v>27</v>
      </c>
    </row>
    <row r="367" spans="1:11" x14ac:dyDescent="0.25">
      <c r="A367" s="6">
        <v>1366</v>
      </c>
      <c r="B367" s="5">
        <v>45865</v>
      </c>
      <c r="C367" s="4" t="s">
        <v>30</v>
      </c>
      <c r="D367" s="4" t="s">
        <v>23</v>
      </c>
      <c r="E367" s="4" t="s">
        <v>24</v>
      </c>
      <c r="F367" s="4">
        <v>7</v>
      </c>
      <c r="G367" s="4">
        <v>150</v>
      </c>
      <c r="H367" s="4">
        <v>1050</v>
      </c>
      <c r="I367" s="4">
        <v>714.6</v>
      </c>
      <c r="J367" s="4">
        <v>335.4</v>
      </c>
      <c r="K367" s="7" t="s">
        <v>29</v>
      </c>
    </row>
    <row r="368" spans="1:11" x14ac:dyDescent="0.25">
      <c r="A368" s="6">
        <v>1367</v>
      </c>
      <c r="B368" s="5">
        <v>45699</v>
      </c>
      <c r="C368" s="4" t="s">
        <v>15</v>
      </c>
      <c r="D368" s="4" t="s">
        <v>16</v>
      </c>
      <c r="E368" s="4" t="s">
        <v>17</v>
      </c>
      <c r="F368" s="4">
        <v>4</v>
      </c>
      <c r="G368" s="4">
        <v>500</v>
      </c>
      <c r="H368" s="4">
        <v>2000</v>
      </c>
      <c r="I368" s="4">
        <v>1578.83</v>
      </c>
      <c r="J368" s="4">
        <v>421.17</v>
      </c>
      <c r="K368" s="7" t="s">
        <v>18</v>
      </c>
    </row>
    <row r="369" spans="1:11" x14ac:dyDescent="0.25">
      <c r="A369" s="6">
        <v>1368</v>
      </c>
      <c r="B369" s="5">
        <v>45984</v>
      </c>
      <c r="C369" s="4" t="s">
        <v>15</v>
      </c>
      <c r="D369" s="4" t="s">
        <v>23</v>
      </c>
      <c r="E369" s="4" t="s">
        <v>24</v>
      </c>
      <c r="F369" s="4">
        <v>7</v>
      </c>
      <c r="G369" s="4">
        <v>2500</v>
      </c>
      <c r="H369" s="4">
        <v>17500</v>
      </c>
      <c r="I369" s="4">
        <v>12540.53</v>
      </c>
      <c r="J369" s="4">
        <v>4959.47</v>
      </c>
      <c r="K369" s="7" t="s">
        <v>14</v>
      </c>
    </row>
    <row r="370" spans="1:11" x14ac:dyDescent="0.25">
      <c r="A370" s="6">
        <v>1369</v>
      </c>
      <c r="B370" s="5">
        <v>45827</v>
      </c>
      <c r="C370" s="4" t="s">
        <v>19</v>
      </c>
      <c r="D370" s="4" t="s">
        <v>16</v>
      </c>
      <c r="E370" s="4" t="s">
        <v>20</v>
      </c>
      <c r="F370" s="4">
        <v>8</v>
      </c>
      <c r="G370" s="4">
        <v>12000</v>
      </c>
      <c r="H370" s="4">
        <v>96000</v>
      </c>
      <c r="I370" s="4">
        <v>67379.360000000001</v>
      </c>
      <c r="J370" s="4">
        <v>28620.639999999999</v>
      </c>
      <c r="K370" s="7" t="s">
        <v>18</v>
      </c>
    </row>
    <row r="371" spans="1:11" x14ac:dyDescent="0.25">
      <c r="A371" s="6">
        <v>1370</v>
      </c>
      <c r="B371" s="5">
        <v>46012</v>
      </c>
      <c r="C371" s="4" t="s">
        <v>19</v>
      </c>
      <c r="D371" s="4" t="s">
        <v>12</v>
      </c>
      <c r="E371" s="4" t="s">
        <v>13</v>
      </c>
      <c r="F371" s="4">
        <v>4</v>
      </c>
      <c r="G371" s="4">
        <v>250</v>
      </c>
      <c r="H371" s="4">
        <v>1000</v>
      </c>
      <c r="I371" s="4">
        <v>865.45</v>
      </c>
      <c r="J371" s="4">
        <v>134.55000000000001</v>
      </c>
      <c r="K371" s="7" t="s">
        <v>21</v>
      </c>
    </row>
    <row r="372" spans="1:11" x14ac:dyDescent="0.25">
      <c r="A372" s="6">
        <v>1371</v>
      </c>
      <c r="B372" s="5">
        <v>45936</v>
      </c>
      <c r="C372" s="4" t="s">
        <v>19</v>
      </c>
      <c r="D372" s="4" t="s">
        <v>23</v>
      </c>
      <c r="E372" s="4" t="s">
        <v>25</v>
      </c>
      <c r="F372" s="4">
        <v>2</v>
      </c>
      <c r="G372" s="4">
        <v>5000</v>
      </c>
      <c r="H372" s="4">
        <v>10000</v>
      </c>
      <c r="I372" s="4">
        <v>8739.5499999999993</v>
      </c>
      <c r="J372" s="4">
        <v>1260.45</v>
      </c>
      <c r="K372" s="7" t="s">
        <v>14</v>
      </c>
    </row>
    <row r="373" spans="1:11" x14ac:dyDescent="0.25">
      <c r="A373" s="6">
        <v>1372</v>
      </c>
      <c r="B373" s="5">
        <v>45958</v>
      </c>
      <c r="C373" s="4" t="s">
        <v>11</v>
      </c>
      <c r="D373" s="4" t="s">
        <v>16</v>
      </c>
      <c r="E373" s="4" t="s">
        <v>20</v>
      </c>
      <c r="F373" s="4">
        <v>6</v>
      </c>
      <c r="G373" s="4">
        <v>150</v>
      </c>
      <c r="H373" s="4">
        <v>900</v>
      </c>
      <c r="I373" s="4">
        <v>797.86</v>
      </c>
      <c r="J373" s="4">
        <v>102.14</v>
      </c>
      <c r="K373" s="7" t="s">
        <v>14</v>
      </c>
    </row>
    <row r="374" spans="1:11" x14ac:dyDescent="0.25">
      <c r="A374" s="6">
        <v>1373</v>
      </c>
      <c r="B374" s="5">
        <v>45948</v>
      </c>
      <c r="C374" s="4" t="s">
        <v>30</v>
      </c>
      <c r="D374" s="4" t="s">
        <v>23</v>
      </c>
      <c r="E374" s="4" t="s">
        <v>25</v>
      </c>
      <c r="F374" s="4">
        <v>5</v>
      </c>
      <c r="G374" s="4">
        <v>250</v>
      </c>
      <c r="H374" s="4">
        <v>1250</v>
      </c>
      <c r="I374" s="4">
        <v>934.23</v>
      </c>
      <c r="J374" s="4">
        <v>315.77</v>
      </c>
      <c r="K374" s="7" t="s">
        <v>14</v>
      </c>
    </row>
    <row r="375" spans="1:11" x14ac:dyDescent="0.25">
      <c r="A375" s="6">
        <v>1374</v>
      </c>
      <c r="B375" s="5">
        <v>46010</v>
      </c>
      <c r="C375" s="4" t="s">
        <v>15</v>
      </c>
      <c r="D375" s="4" t="s">
        <v>12</v>
      </c>
      <c r="E375" s="4" t="s">
        <v>33</v>
      </c>
      <c r="F375" s="4">
        <v>7</v>
      </c>
      <c r="G375" s="4">
        <v>12000</v>
      </c>
      <c r="H375" s="4">
        <v>84000</v>
      </c>
      <c r="I375" s="4">
        <v>67948.509999999995</v>
      </c>
      <c r="J375" s="4">
        <v>16051.49</v>
      </c>
      <c r="K375" s="7" t="s">
        <v>29</v>
      </c>
    </row>
    <row r="376" spans="1:11" x14ac:dyDescent="0.25">
      <c r="A376" s="6">
        <v>1375</v>
      </c>
      <c r="B376" s="5">
        <v>45696</v>
      </c>
      <c r="C376" s="4" t="s">
        <v>32</v>
      </c>
      <c r="D376" s="4" t="s">
        <v>12</v>
      </c>
      <c r="E376" s="4" t="s">
        <v>33</v>
      </c>
      <c r="F376" s="4">
        <v>1</v>
      </c>
      <c r="G376" s="4">
        <v>150</v>
      </c>
      <c r="H376" s="4">
        <v>150</v>
      </c>
      <c r="I376" s="4">
        <v>105.45</v>
      </c>
      <c r="J376" s="4">
        <v>44.55</v>
      </c>
      <c r="K376" s="7" t="s">
        <v>29</v>
      </c>
    </row>
    <row r="377" spans="1:11" x14ac:dyDescent="0.25">
      <c r="A377" s="6">
        <v>1376</v>
      </c>
      <c r="B377" s="5">
        <v>45982</v>
      </c>
      <c r="C377" s="4" t="s">
        <v>32</v>
      </c>
      <c r="D377" s="4" t="s">
        <v>12</v>
      </c>
      <c r="E377" s="4" t="s">
        <v>31</v>
      </c>
      <c r="F377" s="4">
        <v>7</v>
      </c>
      <c r="G377" s="4">
        <v>12000</v>
      </c>
      <c r="H377" s="4">
        <v>84000</v>
      </c>
      <c r="I377" s="4">
        <v>55795.47</v>
      </c>
      <c r="J377" s="4">
        <v>28204.53</v>
      </c>
      <c r="K377" s="7" t="s">
        <v>21</v>
      </c>
    </row>
    <row r="378" spans="1:11" x14ac:dyDescent="0.25">
      <c r="A378" s="6">
        <v>1377</v>
      </c>
      <c r="B378" s="5">
        <v>45879</v>
      </c>
      <c r="C378" s="4" t="s">
        <v>11</v>
      </c>
      <c r="D378" s="4" t="s">
        <v>23</v>
      </c>
      <c r="E378" s="4" t="s">
        <v>25</v>
      </c>
      <c r="F378" s="4">
        <v>6</v>
      </c>
      <c r="G378" s="4">
        <v>2500</v>
      </c>
      <c r="H378" s="4">
        <v>15000</v>
      </c>
      <c r="I378" s="4">
        <v>13191</v>
      </c>
      <c r="J378" s="4">
        <v>1809</v>
      </c>
      <c r="K378" s="7" t="s">
        <v>14</v>
      </c>
    </row>
    <row r="379" spans="1:11" x14ac:dyDescent="0.25">
      <c r="A379" s="6">
        <v>1378</v>
      </c>
      <c r="B379" s="5">
        <v>45809</v>
      </c>
      <c r="C379" s="4" t="s">
        <v>11</v>
      </c>
      <c r="D379" s="4" t="s">
        <v>12</v>
      </c>
      <c r="E379" s="4" t="s">
        <v>31</v>
      </c>
      <c r="F379" s="4">
        <v>7</v>
      </c>
      <c r="G379" s="4">
        <v>150</v>
      </c>
      <c r="H379" s="4">
        <v>1050</v>
      </c>
      <c r="I379" s="4">
        <v>861.27</v>
      </c>
      <c r="J379" s="4">
        <v>188.73</v>
      </c>
      <c r="K379" s="7" t="s">
        <v>14</v>
      </c>
    </row>
    <row r="380" spans="1:11" x14ac:dyDescent="0.25">
      <c r="A380" s="6">
        <v>1379</v>
      </c>
      <c r="B380" s="5">
        <v>45982</v>
      </c>
      <c r="C380" s="4" t="s">
        <v>11</v>
      </c>
      <c r="D380" s="4" t="s">
        <v>16</v>
      </c>
      <c r="E380" s="4" t="s">
        <v>20</v>
      </c>
      <c r="F380" s="4">
        <v>5</v>
      </c>
      <c r="G380" s="4">
        <v>250</v>
      </c>
      <c r="H380" s="4">
        <v>1250</v>
      </c>
      <c r="I380" s="4">
        <v>853.75</v>
      </c>
      <c r="J380" s="4">
        <v>396.25</v>
      </c>
      <c r="K380" s="7" t="s">
        <v>14</v>
      </c>
    </row>
    <row r="381" spans="1:11" x14ac:dyDescent="0.25">
      <c r="A381" s="6">
        <v>1380</v>
      </c>
      <c r="B381" s="5">
        <v>45815</v>
      </c>
      <c r="C381" s="4" t="s">
        <v>30</v>
      </c>
      <c r="D381" s="4" t="s">
        <v>23</v>
      </c>
      <c r="E381" s="4" t="s">
        <v>24</v>
      </c>
      <c r="F381" s="4">
        <v>6</v>
      </c>
      <c r="G381" s="4">
        <v>150</v>
      </c>
      <c r="H381" s="4">
        <v>900</v>
      </c>
      <c r="I381" s="4">
        <v>523.83000000000004</v>
      </c>
      <c r="J381" s="4">
        <v>376.17</v>
      </c>
      <c r="K381" s="7" t="s">
        <v>27</v>
      </c>
    </row>
    <row r="382" spans="1:11" x14ac:dyDescent="0.25">
      <c r="A382" s="6">
        <v>1381</v>
      </c>
      <c r="B382" s="5">
        <v>45887</v>
      </c>
      <c r="C382" s="4" t="s">
        <v>19</v>
      </c>
      <c r="D382" s="4" t="s">
        <v>23</v>
      </c>
      <c r="E382" s="4" t="s">
        <v>25</v>
      </c>
      <c r="F382" s="4">
        <v>3</v>
      </c>
      <c r="G382" s="4">
        <v>150</v>
      </c>
      <c r="H382" s="4">
        <v>450</v>
      </c>
      <c r="I382" s="4">
        <v>277.01</v>
      </c>
      <c r="J382" s="4">
        <v>172.99</v>
      </c>
      <c r="K382" s="7" t="s">
        <v>29</v>
      </c>
    </row>
    <row r="383" spans="1:11" x14ac:dyDescent="0.25">
      <c r="A383" s="6">
        <v>1382</v>
      </c>
      <c r="B383" s="5">
        <v>45941</v>
      </c>
      <c r="C383" s="4" t="s">
        <v>15</v>
      </c>
      <c r="D383" s="4" t="s">
        <v>12</v>
      </c>
      <c r="E383" s="4" t="s">
        <v>33</v>
      </c>
      <c r="F383" s="4">
        <v>2</v>
      </c>
      <c r="G383" s="4">
        <v>150</v>
      </c>
      <c r="H383" s="4">
        <v>300</v>
      </c>
      <c r="I383" s="4">
        <v>174.41</v>
      </c>
      <c r="J383" s="4">
        <v>125.59</v>
      </c>
      <c r="K383" s="7" t="s">
        <v>29</v>
      </c>
    </row>
    <row r="384" spans="1:11" x14ac:dyDescent="0.25">
      <c r="A384" s="6">
        <v>1383</v>
      </c>
      <c r="B384" s="5">
        <v>45856</v>
      </c>
      <c r="C384" s="4" t="s">
        <v>15</v>
      </c>
      <c r="D384" s="4" t="s">
        <v>12</v>
      </c>
      <c r="E384" s="4" t="s">
        <v>33</v>
      </c>
      <c r="F384" s="4">
        <v>7</v>
      </c>
      <c r="G384" s="4">
        <v>150</v>
      </c>
      <c r="H384" s="4">
        <v>1050</v>
      </c>
      <c r="I384" s="4">
        <v>684.75</v>
      </c>
      <c r="J384" s="4">
        <v>365.25</v>
      </c>
      <c r="K384" s="7" t="s">
        <v>14</v>
      </c>
    </row>
    <row r="385" spans="1:11" x14ac:dyDescent="0.25">
      <c r="A385" s="6">
        <v>1384</v>
      </c>
      <c r="B385" s="5">
        <v>45852</v>
      </c>
      <c r="C385" s="4" t="s">
        <v>11</v>
      </c>
      <c r="D385" s="4" t="s">
        <v>12</v>
      </c>
      <c r="E385" s="4" t="s">
        <v>13</v>
      </c>
      <c r="F385" s="4">
        <v>10</v>
      </c>
      <c r="G385" s="4">
        <v>2500</v>
      </c>
      <c r="H385" s="4">
        <v>25000</v>
      </c>
      <c r="I385" s="4">
        <v>15233.85</v>
      </c>
      <c r="J385" s="4">
        <v>9766.15</v>
      </c>
      <c r="K385" s="7" t="s">
        <v>28</v>
      </c>
    </row>
    <row r="386" spans="1:11" x14ac:dyDescent="0.25">
      <c r="A386" s="6">
        <v>1385</v>
      </c>
      <c r="B386" s="5">
        <v>45743</v>
      </c>
      <c r="C386" s="4" t="s">
        <v>30</v>
      </c>
      <c r="D386" s="4" t="s">
        <v>23</v>
      </c>
      <c r="E386" s="4" t="s">
        <v>24</v>
      </c>
      <c r="F386" s="4">
        <v>5</v>
      </c>
      <c r="G386" s="4">
        <v>1200</v>
      </c>
      <c r="H386" s="4">
        <v>6000</v>
      </c>
      <c r="I386" s="4">
        <v>3606.46</v>
      </c>
      <c r="J386" s="4">
        <v>2393.54</v>
      </c>
      <c r="K386" s="7" t="s">
        <v>27</v>
      </c>
    </row>
    <row r="387" spans="1:11" x14ac:dyDescent="0.25">
      <c r="A387" s="6">
        <v>1386</v>
      </c>
      <c r="B387" s="5">
        <v>45786</v>
      </c>
      <c r="C387" s="4" t="s">
        <v>11</v>
      </c>
      <c r="D387" s="4" t="s">
        <v>23</v>
      </c>
      <c r="E387" s="4" t="s">
        <v>24</v>
      </c>
      <c r="F387" s="4">
        <v>8</v>
      </c>
      <c r="G387" s="4">
        <v>12000</v>
      </c>
      <c r="H387" s="4">
        <v>96000</v>
      </c>
      <c r="I387" s="4">
        <v>55384.56</v>
      </c>
      <c r="J387" s="4">
        <v>40615.440000000002</v>
      </c>
      <c r="K387" s="7" t="s">
        <v>14</v>
      </c>
    </row>
    <row r="388" spans="1:11" x14ac:dyDescent="0.25">
      <c r="A388" s="6">
        <v>1387</v>
      </c>
      <c r="B388" s="5">
        <v>45712</v>
      </c>
      <c r="C388" s="4" t="s">
        <v>11</v>
      </c>
      <c r="D388" s="4" t="s">
        <v>12</v>
      </c>
      <c r="E388" s="4" t="s">
        <v>33</v>
      </c>
      <c r="F388" s="4">
        <v>10</v>
      </c>
      <c r="G388" s="4">
        <v>2500</v>
      </c>
      <c r="H388" s="4">
        <v>25000</v>
      </c>
      <c r="I388" s="4">
        <v>15461.05</v>
      </c>
      <c r="J388" s="4">
        <v>9538.9500000000007</v>
      </c>
      <c r="K388" s="7" t="s">
        <v>27</v>
      </c>
    </row>
    <row r="389" spans="1:11" x14ac:dyDescent="0.25">
      <c r="A389" s="6">
        <v>1388</v>
      </c>
      <c r="B389" s="5">
        <v>45826</v>
      </c>
      <c r="C389" s="4" t="s">
        <v>30</v>
      </c>
      <c r="D389" s="4" t="s">
        <v>16</v>
      </c>
      <c r="E389" s="4" t="s">
        <v>22</v>
      </c>
      <c r="F389" s="4">
        <v>6</v>
      </c>
      <c r="G389" s="4">
        <v>12000</v>
      </c>
      <c r="H389" s="4">
        <v>72000</v>
      </c>
      <c r="I389" s="4">
        <v>55228.84</v>
      </c>
      <c r="J389" s="4">
        <v>16771.16</v>
      </c>
      <c r="K389" s="7" t="s">
        <v>27</v>
      </c>
    </row>
    <row r="390" spans="1:11" x14ac:dyDescent="0.25">
      <c r="A390" s="6">
        <v>1389</v>
      </c>
      <c r="B390" s="5">
        <v>45966</v>
      </c>
      <c r="C390" s="4" t="s">
        <v>11</v>
      </c>
      <c r="D390" s="4" t="s">
        <v>23</v>
      </c>
      <c r="E390" s="4" t="s">
        <v>26</v>
      </c>
      <c r="F390" s="4">
        <v>10</v>
      </c>
      <c r="G390" s="4">
        <v>250</v>
      </c>
      <c r="H390" s="4">
        <v>2500</v>
      </c>
      <c r="I390" s="4">
        <v>1637.88</v>
      </c>
      <c r="J390" s="4">
        <v>862.12</v>
      </c>
      <c r="K390" s="7" t="s">
        <v>21</v>
      </c>
    </row>
    <row r="391" spans="1:11" x14ac:dyDescent="0.25">
      <c r="A391" s="6">
        <v>1390</v>
      </c>
      <c r="B391" s="5">
        <v>46013</v>
      </c>
      <c r="C391" s="4" t="s">
        <v>30</v>
      </c>
      <c r="D391" s="4" t="s">
        <v>23</v>
      </c>
      <c r="E391" s="4" t="s">
        <v>25</v>
      </c>
      <c r="F391" s="4">
        <v>7</v>
      </c>
      <c r="G391" s="4">
        <v>500</v>
      </c>
      <c r="H391" s="4">
        <v>3500</v>
      </c>
      <c r="I391" s="4">
        <v>2282.02</v>
      </c>
      <c r="J391" s="4">
        <v>1217.98</v>
      </c>
      <c r="K391" s="7" t="s">
        <v>29</v>
      </c>
    </row>
    <row r="392" spans="1:11" x14ac:dyDescent="0.25">
      <c r="A392" s="6">
        <v>1391</v>
      </c>
      <c r="B392" s="5">
        <v>45859</v>
      </c>
      <c r="C392" s="4" t="s">
        <v>32</v>
      </c>
      <c r="D392" s="4" t="s">
        <v>16</v>
      </c>
      <c r="E392" s="4" t="s">
        <v>22</v>
      </c>
      <c r="F392" s="4">
        <v>7</v>
      </c>
      <c r="G392" s="4">
        <v>500</v>
      </c>
      <c r="H392" s="4">
        <v>3500</v>
      </c>
      <c r="I392" s="4">
        <v>2925.21</v>
      </c>
      <c r="J392" s="4">
        <v>574.79</v>
      </c>
      <c r="K392" s="7" t="s">
        <v>18</v>
      </c>
    </row>
    <row r="393" spans="1:11" x14ac:dyDescent="0.25">
      <c r="A393" s="6">
        <v>1392</v>
      </c>
      <c r="B393" s="5">
        <v>45939</v>
      </c>
      <c r="C393" s="4" t="s">
        <v>15</v>
      </c>
      <c r="D393" s="4" t="s">
        <v>12</v>
      </c>
      <c r="E393" s="4" t="s">
        <v>13</v>
      </c>
      <c r="F393" s="4">
        <v>10</v>
      </c>
      <c r="G393" s="4">
        <v>2500</v>
      </c>
      <c r="H393" s="4">
        <v>25000</v>
      </c>
      <c r="I393" s="4">
        <v>15324.36</v>
      </c>
      <c r="J393" s="4">
        <v>9675.64</v>
      </c>
      <c r="K393" s="7" t="s">
        <v>14</v>
      </c>
    </row>
    <row r="394" spans="1:11" x14ac:dyDescent="0.25">
      <c r="A394" s="6">
        <v>1393</v>
      </c>
      <c r="B394" s="5">
        <v>46012</v>
      </c>
      <c r="C394" s="4" t="s">
        <v>15</v>
      </c>
      <c r="D394" s="4" t="s">
        <v>23</v>
      </c>
      <c r="E394" s="4" t="s">
        <v>26</v>
      </c>
      <c r="F394" s="4">
        <v>4</v>
      </c>
      <c r="G394" s="4">
        <v>1200</v>
      </c>
      <c r="H394" s="4">
        <v>4800</v>
      </c>
      <c r="I394" s="4">
        <v>3980.11</v>
      </c>
      <c r="J394" s="4">
        <v>819.89</v>
      </c>
      <c r="K394" s="7" t="s">
        <v>21</v>
      </c>
    </row>
    <row r="395" spans="1:11" x14ac:dyDescent="0.25">
      <c r="A395" s="6">
        <v>1394</v>
      </c>
      <c r="B395" s="5">
        <v>45787</v>
      </c>
      <c r="C395" s="4" t="s">
        <v>11</v>
      </c>
      <c r="D395" s="4" t="s">
        <v>12</v>
      </c>
      <c r="E395" s="4" t="s">
        <v>33</v>
      </c>
      <c r="F395" s="4">
        <v>3</v>
      </c>
      <c r="G395" s="4">
        <v>5000</v>
      </c>
      <c r="H395" s="4">
        <v>15000</v>
      </c>
      <c r="I395" s="4">
        <v>9839.8700000000008</v>
      </c>
      <c r="J395" s="4">
        <v>5160.13</v>
      </c>
      <c r="K395" s="7" t="s">
        <v>14</v>
      </c>
    </row>
    <row r="396" spans="1:11" x14ac:dyDescent="0.25">
      <c r="A396" s="6">
        <v>1395</v>
      </c>
      <c r="B396" s="5">
        <v>45903</v>
      </c>
      <c r="C396" s="4" t="s">
        <v>19</v>
      </c>
      <c r="D396" s="4" t="s">
        <v>23</v>
      </c>
      <c r="E396" s="4" t="s">
        <v>24</v>
      </c>
      <c r="F396" s="4">
        <v>2</v>
      </c>
      <c r="G396" s="4">
        <v>1200</v>
      </c>
      <c r="H396" s="4">
        <v>2400</v>
      </c>
      <c r="I396" s="4">
        <v>2152.19</v>
      </c>
      <c r="J396" s="4">
        <v>247.81</v>
      </c>
      <c r="K396" s="7" t="s">
        <v>21</v>
      </c>
    </row>
    <row r="397" spans="1:11" x14ac:dyDescent="0.25">
      <c r="A397" s="6">
        <v>1396</v>
      </c>
      <c r="B397" s="5">
        <v>45842</v>
      </c>
      <c r="C397" s="4" t="s">
        <v>19</v>
      </c>
      <c r="D397" s="4" t="s">
        <v>12</v>
      </c>
      <c r="E397" s="4" t="s">
        <v>31</v>
      </c>
      <c r="F397" s="4">
        <v>7</v>
      </c>
      <c r="G397" s="4">
        <v>2500</v>
      </c>
      <c r="H397" s="4">
        <v>17500</v>
      </c>
      <c r="I397" s="4">
        <v>9850.19</v>
      </c>
      <c r="J397" s="4">
        <v>7649.81</v>
      </c>
      <c r="K397" s="7" t="s">
        <v>29</v>
      </c>
    </row>
    <row r="398" spans="1:11" x14ac:dyDescent="0.25">
      <c r="A398" s="6">
        <v>1397</v>
      </c>
      <c r="B398" s="5">
        <v>45998</v>
      </c>
      <c r="C398" s="4" t="s">
        <v>32</v>
      </c>
      <c r="D398" s="4" t="s">
        <v>12</v>
      </c>
      <c r="E398" s="4" t="s">
        <v>13</v>
      </c>
      <c r="F398" s="4">
        <v>2</v>
      </c>
      <c r="G398" s="4">
        <v>12000</v>
      </c>
      <c r="H398" s="4">
        <v>24000</v>
      </c>
      <c r="I398" s="4">
        <v>15285.14</v>
      </c>
      <c r="J398" s="4">
        <v>8714.86</v>
      </c>
      <c r="K398" s="7" t="s">
        <v>28</v>
      </c>
    </row>
    <row r="399" spans="1:11" x14ac:dyDescent="0.25">
      <c r="A399" s="6">
        <v>1398</v>
      </c>
      <c r="B399" s="5">
        <v>46004</v>
      </c>
      <c r="C399" s="4" t="s">
        <v>30</v>
      </c>
      <c r="D399" s="4" t="s">
        <v>12</v>
      </c>
      <c r="E399" s="4" t="s">
        <v>31</v>
      </c>
      <c r="F399" s="4">
        <v>1</v>
      </c>
      <c r="G399" s="4">
        <v>2500</v>
      </c>
      <c r="H399" s="4">
        <v>2500</v>
      </c>
      <c r="I399" s="4">
        <v>2235.66</v>
      </c>
      <c r="J399" s="4">
        <v>264.33999999999997</v>
      </c>
      <c r="K399" s="7" t="s">
        <v>27</v>
      </c>
    </row>
    <row r="400" spans="1:11" x14ac:dyDescent="0.25">
      <c r="A400" s="6">
        <v>1399</v>
      </c>
      <c r="B400" s="5">
        <v>45919</v>
      </c>
      <c r="C400" s="4" t="s">
        <v>19</v>
      </c>
      <c r="D400" s="4" t="s">
        <v>23</v>
      </c>
      <c r="E400" s="4" t="s">
        <v>25</v>
      </c>
      <c r="F400" s="4">
        <v>1</v>
      </c>
      <c r="G400" s="4">
        <v>150</v>
      </c>
      <c r="H400" s="4">
        <v>150</v>
      </c>
      <c r="I400" s="4">
        <v>96.08</v>
      </c>
      <c r="J400" s="4">
        <v>53.92</v>
      </c>
      <c r="K400" s="7" t="s">
        <v>29</v>
      </c>
    </row>
    <row r="401" spans="1:11" x14ac:dyDescent="0.25">
      <c r="A401" s="6">
        <v>1400</v>
      </c>
      <c r="B401" s="5">
        <v>45858</v>
      </c>
      <c r="C401" s="4" t="s">
        <v>30</v>
      </c>
      <c r="D401" s="4" t="s">
        <v>12</v>
      </c>
      <c r="E401" s="4" t="s">
        <v>31</v>
      </c>
      <c r="F401" s="4">
        <v>10</v>
      </c>
      <c r="G401" s="4">
        <v>250</v>
      </c>
      <c r="H401" s="4">
        <v>2500</v>
      </c>
      <c r="I401" s="4">
        <v>1765.06</v>
      </c>
      <c r="J401" s="4">
        <v>734.94</v>
      </c>
      <c r="K401" s="7" t="s">
        <v>14</v>
      </c>
    </row>
    <row r="402" spans="1:11" x14ac:dyDescent="0.25">
      <c r="A402" s="6">
        <v>1401</v>
      </c>
      <c r="B402" s="5">
        <v>45670</v>
      </c>
      <c r="C402" s="4" t="s">
        <v>30</v>
      </c>
      <c r="D402" s="4" t="s">
        <v>12</v>
      </c>
      <c r="E402" s="4" t="s">
        <v>31</v>
      </c>
      <c r="F402" s="4">
        <v>9</v>
      </c>
      <c r="G402" s="4">
        <v>250</v>
      </c>
      <c r="H402" s="4">
        <v>2250</v>
      </c>
      <c r="I402" s="4">
        <v>1509.16</v>
      </c>
      <c r="J402" s="4">
        <v>740.84</v>
      </c>
      <c r="K402" s="7" t="s">
        <v>18</v>
      </c>
    </row>
    <row r="403" spans="1:11" x14ac:dyDescent="0.25">
      <c r="A403" s="6">
        <v>1402</v>
      </c>
      <c r="B403" s="5">
        <v>45730</v>
      </c>
      <c r="C403" s="4" t="s">
        <v>32</v>
      </c>
      <c r="D403" s="4" t="s">
        <v>23</v>
      </c>
      <c r="E403" s="4" t="s">
        <v>24</v>
      </c>
      <c r="F403" s="4">
        <v>2</v>
      </c>
      <c r="G403" s="4">
        <v>150</v>
      </c>
      <c r="H403" s="4">
        <v>300</v>
      </c>
      <c r="I403" s="4">
        <v>252.29</v>
      </c>
      <c r="J403" s="4">
        <v>47.71</v>
      </c>
      <c r="K403" s="7" t="s">
        <v>27</v>
      </c>
    </row>
    <row r="404" spans="1:11" x14ac:dyDescent="0.25">
      <c r="A404" s="6">
        <v>1403</v>
      </c>
      <c r="B404" s="5">
        <v>45901</v>
      </c>
      <c r="C404" s="4" t="s">
        <v>15</v>
      </c>
      <c r="D404" s="4" t="s">
        <v>23</v>
      </c>
      <c r="E404" s="4" t="s">
        <v>24</v>
      </c>
      <c r="F404" s="4">
        <v>4</v>
      </c>
      <c r="G404" s="4">
        <v>2500</v>
      </c>
      <c r="H404" s="4">
        <v>10000</v>
      </c>
      <c r="I404" s="4">
        <v>7190.24</v>
      </c>
      <c r="J404" s="4">
        <v>2809.76</v>
      </c>
      <c r="K404" s="7" t="s">
        <v>21</v>
      </c>
    </row>
    <row r="405" spans="1:11" x14ac:dyDescent="0.25">
      <c r="A405" s="6">
        <v>1404</v>
      </c>
      <c r="B405" s="5">
        <v>45680</v>
      </c>
      <c r="C405" s="4" t="s">
        <v>15</v>
      </c>
      <c r="D405" s="4" t="s">
        <v>12</v>
      </c>
      <c r="E405" s="4" t="s">
        <v>31</v>
      </c>
      <c r="F405" s="4">
        <v>8</v>
      </c>
      <c r="G405" s="4">
        <v>500</v>
      </c>
      <c r="H405" s="4">
        <v>4000</v>
      </c>
      <c r="I405" s="4">
        <v>2294.04</v>
      </c>
      <c r="J405" s="4">
        <v>1705.96</v>
      </c>
      <c r="K405" s="7" t="s">
        <v>18</v>
      </c>
    </row>
    <row r="406" spans="1:11" x14ac:dyDescent="0.25">
      <c r="A406" s="6">
        <v>1405</v>
      </c>
      <c r="B406" s="5">
        <v>45782</v>
      </c>
      <c r="C406" s="4" t="s">
        <v>19</v>
      </c>
      <c r="D406" s="4" t="s">
        <v>23</v>
      </c>
      <c r="E406" s="4" t="s">
        <v>26</v>
      </c>
      <c r="F406" s="4">
        <v>2</v>
      </c>
      <c r="G406" s="4">
        <v>5000</v>
      </c>
      <c r="H406" s="4">
        <v>10000</v>
      </c>
      <c r="I406" s="4">
        <v>8300.18</v>
      </c>
      <c r="J406" s="4">
        <v>1699.82</v>
      </c>
      <c r="K406" s="7" t="s">
        <v>28</v>
      </c>
    </row>
    <row r="407" spans="1:11" x14ac:dyDescent="0.25">
      <c r="A407" s="6">
        <v>1406</v>
      </c>
      <c r="B407" s="5">
        <v>45894</v>
      </c>
      <c r="C407" s="4" t="s">
        <v>11</v>
      </c>
      <c r="D407" s="4" t="s">
        <v>12</v>
      </c>
      <c r="E407" s="4" t="s">
        <v>13</v>
      </c>
      <c r="F407" s="4">
        <v>6</v>
      </c>
      <c r="G407" s="4">
        <v>2500</v>
      </c>
      <c r="H407" s="4">
        <v>15000</v>
      </c>
      <c r="I407" s="4">
        <v>10488.44</v>
      </c>
      <c r="J407" s="4">
        <v>4511.5600000000004</v>
      </c>
      <c r="K407" s="7" t="s">
        <v>21</v>
      </c>
    </row>
    <row r="408" spans="1:11" x14ac:dyDescent="0.25">
      <c r="A408" s="6">
        <v>1407</v>
      </c>
      <c r="B408" s="5">
        <v>45860</v>
      </c>
      <c r="C408" s="4" t="s">
        <v>15</v>
      </c>
      <c r="D408" s="4" t="s">
        <v>12</v>
      </c>
      <c r="E408" s="4" t="s">
        <v>13</v>
      </c>
      <c r="F408" s="4">
        <v>3</v>
      </c>
      <c r="G408" s="4">
        <v>5000</v>
      </c>
      <c r="H408" s="4">
        <v>15000</v>
      </c>
      <c r="I408" s="4">
        <v>11700.87</v>
      </c>
      <c r="J408" s="4">
        <v>3299.13</v>
      </c>
      <c r="K408" s="7" t="s">
        <v>14</v>
      </c>
    </row>
    <row r="409" spans="1:11" x14ac:dyDescent="0.25">
      <c r="A409" s="6">
        <v>1408</v>
      </c>
      <c r="B409" s="5">
        <v>45660</v>
      </c>
      <c r="C409" s="4" t="s">
        <v>11</v>
      </c>
      <c r="D409" s="4" t="s">
        <v>12</v>
      </c>
      <c r="E409" s="4" t="s">
        <v>13</v>
      </c>
      <c r="F409" s="4">
        <v>8</v>
      </c>
      <c r="G409" s="4">
        <v>2500</v>
      </c>
      <c r="H409" s="4">
        <v>20000</v>
      </c>
      <c r="I409" s="4">
        <v>14006.87</v>
      </c>
      <c r="J409" s="4">
        <v>5993.13</v>
      </c>
      <c r="K409" s="7" t="s">
        <v>28</v>
      </c>
    </row>
    <row r="410" spans="1:11" x14ac:dyDescent="0.25">
      <c r="A410" s="6">
        <v>1409</v>
      </c>
      <c r="B410" s="5">
        <v>45932</v>
      </c>
      <c r="C410" s="4" t="s">
        <v>11</v>
      </c>
      <c r="D410" s="4" t="s">
        <v>23</v>
      </c>
      <c r="E410" s="4" t="s">
        <v>26</v>
      </c>
      <c r="F410" s="4">
        <v>2</v>
      </c>
      <c r="G410" s="4">
        <v>2500</v>
      </c>
      <c r="H410" s="4">
        <v>5000</v>
      </c>
      <c r="I410" s="4">
        <v>2928.07</v>
      </c>
      <c r="J410" s="4">
        <v>2071.9299999999998</v>
      </c>
      <c r="K410" s="7" t="s">
        <v>27</v>
      </c>
    </row>
    <row r="411" spans="1:11" x14ac:dyDescent="0.25">
      <c r="A411" s="6">
        <v>1410</v>
      </c>
      <c r="B411" s="5">
        <v>45908</v>
      </c>
      <c r="C411" s="4" t="s">
        <v>19</v>
      </c>
      <c r="D411" s="4" t="s">
        <v>23</v>
      </c>
      <c r="E411" s="4" t="s">
        <v>25</v>
      </c>
      <c r="F411" s="4">
        <v>8</v>
      </c>
      <c r="G411" s="4">
        <v>150</v>
      </c>
      <c r="H411" s="4">
        <v>1200</v>
      </c>
      <c r="I411" s="4">
        <v>770.19</v>
      </c>
      <c r="J411" s="4">
        <v>429.81</v>
      </c>
      <c r="K411" s="7" t="s">
        <v>14</v>
      </c>
    </row>
    <row r="412" spans="1:11" x14ac:dyDescent="0.25">
      <c r="A412" s="6">
        <v>1411</v>
      </c>
      <c r="B412" s="5">
        <v>45716</v>
      </c>
      <c r="C412" s="4" t="s">
        <v>32</v>
      </c>
      <c r="D412" s="4" t="s">
        <v>23</v>
      </c>
      <c r="E412" s="4" t="s">
        <v>26</v>
      </c>
      <c r="F412" s="4">
        <v>7</v>
      </c>
      <c r="G412" s="4">
        <v>2500</v>
      </c>
      <c r="H412" s="4">
        <v>17500</v>
      </c>
      <c r="I412" s="4">
        <v>12029.33</v>
      </c>
      <c r="J412" s="4">
        <v>5470.67</v>
      </c>
      <c r="K412" s="7" t="s">
        <v>27</v>
      </c>
    </row>
    <row r="413" spans="1:11" x14ac:dyDescent="0.25">
      <c r="A413" s="6">
        <v>1412</v>
      </c>
      <c r="B413" s="5">
        <v>45810</v>
      </c>
      <c r="C413" s="4" t="s">
        <v>19</v>
      </c>
      <c r="D413" s="4" t="s">
        <v>23</v>
      </c>
      <c r="E413" s="4" t="s">
        <v>26</v>
      </c>
      <c r="F413" s="4">
        <v>3</v>
      </c>
      <c r="G413" s="4">
        <v>12000</v>
      </c>
      <c r="H413" s="4">
        <v>36000</v>
      </c>
      <c r="I413" s="4">
        <v>28287.22</v>
      </c>
      <c r="J413" s="4">
        <v>7712.78</v>
      </c>
      <c r="K413" s="7" t="s">
        <v>29</v>
      </c>
    </row>
    <row r="414" spans="1:11" x14ac:dyDescent="0.25">
      <c r="A414" s="6">
        <v>1413</v>
      </c>
      <c r="B414" s="5">
        <v>45814</v>
      </c>
      <c r="C414" s="4" t="s">
        <v>15</v>
      </c>
      <c r="D414" s="4" t="s">
        <v>16</v>
      </c>
      <c r="E414" s="4" t="s">
        <v>17</v>
      </c>
      <c r="F414" s="4">
        <v>3</v>
      </c>
      <c r="G414" s="4">
        <v>500</v>
      </c>
      <c r="H414" s="4">
        <v>1500</v>
      </c>
      <c r="I414" s="4">
        <v>886.88</v>
      </c>
      <c r="J414" s="4">
        <v>613.12</v>
      </c>
      <c r="K414" s="7" t="s">
        <v>28</v>
      </c>
    </row>
    <row r="415" spans="1:11" x14ac:dyDescent="0.25">
      <c r="A415" s="6">
        <v>1414</v>
      </c>
      <c r="B415" s="5">
        <v>45963</v>
      </c>
      <c r="C415" s="4" t="s">
        <v>11</v>
      </c>
      <c r="D415" s="4" t="s">
        <v>23</v>
      </c>
      <c r="E415" s="4" t="s">
        <v>26</v>
      </c>
      <c r="F415" s="4">
        <v>3</v>
      </c>
      <c r="G415" s="4">
        <v>2500</v>
      </c>
      <c r="H415" s="4">
        <v>7500</v>
      </c>
      <c r="I415" s="4">
        <v>5144.72</v>
      </c>
      <c r="J415" s="4">
        <v>2355.2800000000002</v>
      </c>
      <c r="K415" s="7" t="s">
        <v>29</v>
      </c>
    </row>
    <row r="416" spans="1:11" x14ac:dyDescent="0.25">
      <c r="A416" s="6">
        <v>1415</v>
      </c>
      <c r="B416" s="5">
        <v>46013</v>
      </c>
      <c r="C416" s="4" t="s">
        <v>11</v>
      </c>
      <c r="D416" s="4" t="s">
        <v>23</v>
      </c>
      <c r="E416" s="4" t="s">
        <v>24</v>
      </c>
      <c r="F416" s="4">
        <v>3</v>
      </c>
      <c r="G416" s="4">
        <v>1200</v>
      </c>
      <c r="H416" s="4">
        <v>3600</v>
      </c>
      <c r="I416" s="4">
        <v>2780.73</v>
      </c>
      <c r="J416" s="4">
        <v>819.27</v>
      </c>
      <c r="K416" s="7" t="s">
        <v>29</v>
      </c>
    </row>
    <row r="417" spans="1:11" x14ac:dyDescent="0.25">
      <c r="A417" s="6">
        <v>1416</v>
      </c>
      <c r="B417" s="5">
        <v>45888</v>
      </c>
      <c r="C417" s="4" t="s">
        <v>19</v>
      </c>
      <c r="D417" s="4" t="s">
        <v>16</v>
      </c>
      <c r="E417" s="4" t="s">
        <v>22</v>
      </c>
      <c r="F417" s="4">
        <v>5</v>
      </c>
      <c r="G417" s="4">
        <v>250</v>
      </c>
      <c r="H417" s="4">
        <v>1250</v>
      </c>
      <c r="I417" s="4">
        <v>769.36</v>
      </c>
      <c r="J417" s="4">
        <v>480.64</v>
      </c>
      <c r="K417" s="7" t="s">
        <v>18</v>
      </c>
    </row>
    <row r="418" spans="1:11" x14ac:dyDescent="0.25">
      <c r="A418" s="6">
        <v>1417</v>
      </c>
      <c r="B418" s="5">
        <v>45854</v>
      </c>
      <c r="C418" s="4" t="s">
        <v>19</v>
      </c>
      <c r="D418" s="4" t="s">
        <v>23</v>
      </c>
      <c r="E418" s="4" t="s">
        <v>25</v>
      </c>
      <c r="F418" s="4">
        <v>8</v>
      </c>
      <c r="G418" s="4">
        <v>250</v>
      </c>
      <c r="H418" s="4">
        <v>2000</v>
      </c>
      <c r="I418" s="4">
        <v>1236.5899999999999</v>
      </c>
      <c r="J418" s="4">
        <v>763.41</v>
      </c>
      <c r="K418" s="7" t="s">
        <v>29</v>
      </c>
    </row>
    <row r="419" spans="1:11" x14ac:dyDescent="0.25">
      <c r="A419" s="6">
        <v>1418</v>
      </c>
      <c r="B419" s="5">
        <v>46021</v>
      </c>
      <c r="C419" s="4" t="s">
        <v>30</v>
      </c>
      <c r="D419" s="4" t="s">
        <v>12</v>
      </c>
      <c r="E419" s="4" t="s">
        <v>33</v>
      </c>
      <c r="F419" s="4">
        <v>7</v>
      </c>
      <c r="G419" s="4">
        <v>5000</v>
      </c>
      <c r="H419" s="4">
        <v>35000</v>
      </c>
      <c r="I419" s="4">
        <v>25273.64</v>
      </c>
      <c r="J419" s="4">
        <v>9726.36</v>
      </c>
      <c r="K419" s="7" t="s">
        <v>21</v>
      </c>
    </row>
    <row r="420" spans="1:11" x14ac:dyDescent="0.25">
      <c r="A420" s="6">
        <v>1419</v>
      </c>
      <c r="B420" s="5">
        <v>45770</v>
      </c>
      <c r="C420" s="4" t="s">
        <v>32</v>
      </c>
      <c r="D420" s="4" t="s">
        <v>16</v>
      </c>
      <c r="E420" s="4" t="s">
        <v>20</v>
      </c>
      <c r="F420" s="4">
        <v>10</v>
      </c>
      <c r="G420" s="4">
        <v>150</v>
      </c>
      <c r="H420" s="4">
        <v>1500</v>
      </c>
      <c r="I420" s="4">
        <v>1242.8399999999999</v>
      </c>
      <c r="J420" s="4">
        <v>257.16000000000003</v>
      </c>
      <c r="K420" s="7" t="s">
        <v>18</v>
      </c>
    </row>
    <row r="421" spans="1:11" x14ac:dyDescent="0.25">
      <c r="A421" s="6">
        <v>1420</v>
      </c>
      <c r="B421" s="5">
        <v>45892</v>
      </c>
      <c r="C421" s="4" t="s">
        <v>19</v>
      </c>
      <c r="D421" s="4" t="s">
        <v>23</v>
      </c>
      <c r="E421" s="4" t="s">
        <v>25</v>
      </c>
      <c r="F421" s="4">
        <v>9</v>
      </c>
      <c r="G421" s="4">
        <v>500</v>
      </c>
      <c r="H421" s="4">
        <v>4500</v>
      </c>
      <c r="I421" s="4">
        <v>2739.93</v>
      </c>
      <c r="J421" s="4">
        <v>1760.07</v>
      </c>
      <c r="K421" s="7" t="s">
        <v>14</v>
      </c>
    </row>
    <row r="422" spans="1:11" x14ac:dyDescent="0.25">
      <c r="A422" s="6">
        <v>1421</v>
      </c>
      <c r="B422" s="5">
        <v>45795</v>
      </c>
      <c r="C422" s="4" t="s">
        <v>19</v>
      </c>
      <c r="D422" s="4" t="s">
        <v>23</v>
      </c>
      <c r="E422" s="4" t="s">
        <v>26</v>
      </c>
      <c r="F422" s="4">
        <v>9</v>
      </c>
      <c r="G422" s="4">
        <v>150</v>
      </c>
      <c r="H422" s="4">
        <v>1350</v>
      </c>
      <c r="I422" s="4">
        <v>1013.11</v>
      </c>
      <c r="J422" s="4">
        <v>336.89</v>
      </c>
      <c r="K422" s="7" t="s">
        <v>27</v>
      </c>
    </row>
    <row r="423" spans="1:11" x14ac:dyDescent="0.25">
      <c r="A423" s="6">
        <v>1422</v>
      </c>
      <c r="B423" s="5">
        <v>45875</v>
      </c>
      <c r="C423" s="4" t="s">
        <v>15</v>
      </c>
      <c r="D423" s="4" t="s">
        <v>12</v>
      </c>
      <c r="E423" s="4" t="s">
        <v>13</v>
      </c>
      <c r="F423" s="4">
        <v>8</v>
      </c>
      <c r="G423" s="4">
        <v>2500</v>
      </c>
      <c r="H423" s="4">
        <v>20000</v>
      </c>
      <c r="I423" s="4">
        <v>12529.79</v>
      </c>
      <c r="J423" s="4">
        <v>7470.21</v>
      </c>
      <c r="K423" s="7" t="s">
        <v>14</v>
      </c>
    </row>
    <row r="424" spans="1:11" x14ac:dyDescent="0.25">
      <c r="A424" s="6">
        <v>1423</v>
      </c>
      <c r="B424" s="5">
        <v>45888</v>
      </c>
      <c r="C424" s="4" t="s">
        <v>32</v>
      </c>
      <c r="D424" s="4" t="s">
        <v>12</v>
      </c>
      <c r="E424" s="4" t="s">
        <v>13</v>
      </c>
      <c r="F424" s="4">
        <v>5</v>
      </c>
      <c r="G424" s="4">
        <v>12000</v>
      </c>
      <c r="H424" s="4">
        <v>60000</v>
      </c>
      <c r="I424" s="4">
        <v>53985.57</v>
      </c>
      <c r="J424" s="4">
        <v>6014.43</v>
      </c>
      <c r="K424" s="7" t="s">
        <v>27</v>
      </c>
    </row>
    <row r="425" spans="1:11" x14ac:dyDescent="0.25">
      <c r="A425" s="6">
        <v>1424</v>
      </c>
      <c r="B425" s="5">
        <v>45765</v>
      </c>
      <c r="C425" s="4" t="s">
        <v>19</v>
      </c>
      <c r="D425" s="4" t="s">
        <v>16</v>
      </c>
      <c r="E425" s="4" t="s">
        <v>22</v>
      </c>
      <c r="F425" s="4">
        <v>2</v>
      </c>
      <c r="G425" s="4">
        <v>12000</v>
      </c>
      <c r="H425" s="4">
        <v>24000</v>
      </c>
      <c r="I425" s="4">
        <v>20019.87</v>
      </c>
      <c r="J425" s="4">
        <v>3980.13</v>
      </c>
      <c r="K425" s="7" t="s">
        <v>14</v>
      </c>
    </row>
    <row r="426" spans="1:11" x14ac:dyDescent="0.25">
      <c r="A426" s="6">
        <v>1425</v>
      </c>
      <c r="B426" s="5">
        <v>45973</v>
      </c>
      <c r="C426" s="4" t="s">
        <v>11</v>
      </c>
      <c r="D426" s="4" t="s">
        <v>23</v>
      </c>
      <c r="E426" s="4" t="s">
        <v>26</v>
      </c>
      <c r="F426" s="4">
        <v>10</v>
      </c>
      <c r="G426" s="4">
        <v>5000</v>
      </c>
      <c r="H426" s="4">
        <v>50000</v>
      </c>
      <c r="I426" s="4">
        <v>34992.92</v>
      </c>
      <c r="J426" s="4">
        <v>15007.08</v>
      </c>
      <c r="K426" s="7" t="s">
        <v>28</v>
      </c>
    </row>
    <row r="427" spans="1:11" x14ac:dyDescent="0.25">
      <c r="A427" s="6">
        <v>1426</v>
      </c>
      <c r="B427" s="5">
        <v>45963</v>
      </c>
      <c r="C427" s="4" t="s">
        <v>19</v>
      </c>
      <c r="D427" s="4" t="s">
        <v>16</v>
      </c>
      <c r="E427" s="4" t="s">
        <v>20</v>
      </c>
      <c r="F427" s="4">
        <v>10</v>
      </c>
      <c r="G427" s="4">
        <v>500</v>
      </c>
      <c r="H427" s="4">
        <v>5000</v>
      </c>
      <c r="I427" s="4">
        <v>3681.49</v>
      </c>
      <c r="J427" s="4">
        <v>1318.51</v>
      </c>
      <c r="K427" s="7" t="s">
        <v>28</v>
      </c>
    </row>
    <row r="428" spans="1:11" x14ac:dyDescent="0.25">
      <c r="A428" s="6">
        <v>1427</v>
      </c>
      <c r="B428" s="5">
        <v>45921</v>
      </c>
      <c r="C428" s="4" t="s">
        <v>15</v>
      </c>
      <c r="D428" s="4" t="s">
        <v>23</v>
      </c>
      <c r="E428" s="4" t="s">
        <v>26</v>
      </c>
      <c r="F428" s="4">
        <v>5</v>
      </c>
      <c r="G428" s="4">
        <v>500</v>
      </c>
      <c r="H428" s="4">
        <v>2500</v>
      </c>
      <c r="I428" s="4">
        <v>1876.14</v>
      </c>
      <c r="J428" s="4">
        <v>623.86</v>
      </c>
      <c r="K428" s="7" t="s">
        <v>28</v>
      </c>
    </row>
    <row r="429" spans="1:11" x14ac:dyDescent="0.25">
      <c r="A429" s="6">
        <v>1428</v>
      </c>
      <c r="B429" s="5">
        <v>46017</v>
      </c>
      <c r="C429" s="4" t="s">
        <v>11</v>
      </c>
      <c r="D429" s="4" t="s">
        <v>23</v>
      </c>
      <c r="E429" s="4" t="s">
        <v>25</v>
      </c>
      <c r="F429" s="4">
        <v>5</v>
      </c>
      <c r="G429" s="4">
        <v>12000</v>
      </c>
      <c r="H429" s="4">
        <v>60000</v>
      </c>
      <c r="I429" s="4">
        <v>46773.82</v>
      </c>
      <c r="J429" s="4">
        <v>13226.18</v>
      </c>
      <c r="K429" s="7" t="s">
        <v>28</v>
      </c>
    </row>
    <row r="430" spans="1:11" x14ac:dyDescent="0.25">
      <c r="A430" s="6">
        <v>1429</v>
      </c>
      <c r="B430" s="5">
        <v>46004</v>
      </c>
      <c r="C430" s="4" t="s">
        <v>30</v>
      </c>
      <c r="D430" s="4" t="s">
        <v>16</v>
      </c>
      <c r="E430" s="4" t="s">
        <v>17</v>
      </c>
      <c r="F430" s="4">
        <v>6</v>
      </c>
      <c r="G430" s="4">
        <v>12000</v>
      </c>
      <c r="H430" s="4">
        <v>72000</v>
      </c>
      <c r="I430" s="4">
        <v>45838.38</v>
      </c>
      <c r="J430" s="4">
        <v>26161.62</v>
      </c>
      <c r="K430" s="7" t="s">
        <v>21</v>
      </c>
    </row>
    <row r="431" spans="1:11" x14ac:dyDescent="0.25">
      <c r="A431" s="6">
        <v>1430</v>
      </c>
      <c r="B431" s="5">
        <v>45889</v>
      </c>
      <c r="C431" s="4" t="s">
        <v>15</v>
      </c>
      <c r="D431" s="4" t="s">
        <v>16</v>
      </c>
      <c r="E431" s="4" t="s">
        <v>17</v>
      </c>
      <c r="F431" s="4">
        <v>5</v>
      </c>
      <c r="G431" s="4">
        <v>5000</v>
      </c>
      <c r="H431" s="4">
        <v>25000</v>
      </c>
      <c r="I431" s="4">
        <v>17374.47</v>
      </c>
      <c r="J431" s="4">
        <v>7625.53</v>
      </c>
      <c r="K431" s="7" t="s">
        <v>14</v>
      </c>
    </row>
    <row r="432" spans="1:11" x14ac:dyDescent="0.25">
      <c r="A432" s="6">
        <v>1431</v>
      </c>
      <c r="B432" s="5">
        <v>45846</v>
      </c>
      <c r="C432" s="4" t="s">
        <v>30</v>
      </c>
      <c r="D432" s="4" t="s">
        <v>16</v>
      </c>
      <c r="E432" s="4" t="s">
        <v>22</v>
      </c>
      <c r="F432" s="4">
        <v>9</v>
      </c>
      <c r="G432" s="4">
        <v>5000</v>
      </c>
      <c r="H432" s="4">
        <v>45000</v>
      </c>
      <c r="I432" s="4">
        <v>29132.05</v>
      </c>
      <c r="J432" s="4">
        <v>15867.95</v>
      </c>
      <c r="K432" s="7" t="s">
        <v>21</v>
      </c>
    </row>
    <row r="433" spans="1:11" x14ac:dyDescent="0.25">
      <c r="A433" s="6">
        <v>1432</v>
      </c>
      <c r="B433" s="5">
        <v>45705</v>
      </c>
      <c r="C433" s="4" t="s">
        <v>30</v>
      </c>
      <c r="D433" s="4" t="s">
        <v>23</v>
      </c>
      <c r="E433" s="4" t="s">
        <v>26</v>
      </c>
      <c r="F433" s="4">
        <v>1</v>
      </c>
      <c r="G433" s="4">
        <v>12000</v>
      </c>
      <c r="H433" s="4">
        <v>12000</v>
      </c>
      <c r="I433" s="4">
        <v>9851.3700000000008</v>
      </c>
      <c r="J433" s="4">
        <v>2148.63</v>
      </c>
      <c r="K433" s="7" t="s">
        <v>14</v>
      </c>
    </row>
    <row r="434" spans="1:11" x14ac:dyDescent="0.25">
      <c r="A434" s="6">
        <v>1433</v>
      </c>
      <c r="B434" s="5">
        <v>45931</v>
      </c>
      <c r="C434" s="4" t="s">
        <v>30</v>
      </c>
      <c r="D434" s="4" t="s">
        <v>12</v>
      </c>
      <c r="E434" s="4" t="s">
        <v>31</v>
      </c>
      <c r="F434" s="4">
        <v>6</v>
      </c>
      <c r="G434" s="4">
        <v>12000</v>
      </c>
      <c r="H434" s="4">
        <v>72000</v>
      </c>
      <c r="I434" s="4">
        <v>41195.93</v>
      </c>
      <c r="J434" s="4">
        <v>30804.07</v>
      </c>
      <c r="K434" s="7" t="s">
        <v>28</v>
      </c>
    </row>
    <row r="435" spans="1:11" x14ac:dyDescent="0.25">
      <c r="A435" s="6">
        <v>1434</v>
      </c>
      <c r="B435" s="5">
        <v>45803</v>
      </c>
      <c r="C435" s="4" t="s">
        <v>32</v>
      </c>
      <c r="D435" s="4" t="s">
        <v>23</v>
      </c>
      <c r="E435" s="4" t="s">
        <v>25</v>
      </c>
      <c r="F435" s="4">
        <v>8</v>
      </c>
      <c r="G435" s="4">
        <v>500</v>
      </c>
      <c r="H435" s="4">
        <v>4000</v>
      </c>
      <c r="I435" s="4">
        <v>2652.01</v>
      </c>
      <c r="J435" s="4">
        <v>1347.99</v>
      </c>
      <c r="K435" s="7" t="s">
        <v>29</v>
      </c>
    </row>
    <row r="436" spans="1:11" x14ac:dyDescent="0.25">
      <c r="A436" s="6">
        <v>1435</v>
      </c>
      <c r="B436" s="5">
        <v>45833</v>
      </c>
      <c r="C436" s="4" t="s">
        <v>15</v>
      </c>
      <c r="D436" s="4" t="s">
        <v>12</v>
      </c>
      <c r="E436" s="4" t="s">
        <v>13</v>
      </c>
      <c r="F436" s="4">
        <v>10</v>
      </c>
      <c r="G436" s="4">
        <v>12000</v>
      </c>
      <c r="H436" s="4">
        <v>120000</v>
      </c>
      <c r="I436" s="4">
        <v>86384.19</v>
      </c>
      <c r="J436" s="4">
        <v>33615.81</v>
      </c>
      <c r="K436" s="7" t="s">
        <v>18</v>
      </c>
    </row>
    <row r="437" spans="1:11" x14ac:dyDescent="0.25">
      <c r="A437" s="6">
        <v>1436</v>
      </c>
      <c r="B437" s="5">
        <v>45738</v>
      </c>
      <c r="C437" s="4" t="s">
        <v>30</v>
      </c>
      <c r="D437" s="4" t="s">
        <v>16</v>
      </c>
      <c r="E437" s="4" t="s">
        <v>17</v>
      </c>
      <c r="F437" s="4">
        <v>8</v>
      </c>
      <c r="G437" s="4">
        <v>150</v>
      </c>
      <c r="H437" s="4">
        <v>1200</v>
      </c>
      <c r="I437" s="4">
        <v>712.18</v>
      </c>
      <c r="J437" s="4">
        <v>487.82</v>
      </c>
      <c r="K437" s="7" t="s">
        <v>21</v>
      </c>
    </row>
    <row r="438" spans="1:11" x14ac:dyDescent="0.25">
      <c r="A438" s="6">
        <v>1437</v>
      </c>
      <c r="B438" s="5">
        <v>45990</v>
      </c>
      <c r="C438" s="4" t="s">
        <v>32</v>
      </c>
      <c r="D438" s="4" t="s">
        <v>16</v>
      </c>
      <c r="E438" s="4" t="s">
        <v>22</v>
      </c>
      <c r="F438" s="4">
        <v>4</v>
      </c>
      <c r="G438" s="4">
        <v>5000</v>
      </c>
      <c r="H438" s="4">
        <v>20000</v>
      </c>
      <c r="I438" s="4">
        <v>17365.849999999999</v>
      </c>
      <c r="J438" s="4">
        <v>2634.15</v>
      </c>
      <c r="K438" s="7" t="s">
        <v>28</v>
      </c>
    </row>
    <row r="439" spans="1:11" x14ac:dyDescent="0.25">
      <c r="A439" s="6">
        <v>1438</v>
      </c>
      <c r="B439" s="5">
        <v>45998</v>
      </c>
      <c r="C439" s="4" t="s">
        <v>11</v>
      </c>
      <c r="D439" s="4" t="s">
        <v>23</v>
      </c>
      <c r="E439" s="4" t="s">
        <v>25</v>
      </c>
      <c r="F439" s="4">
        <v>6</v>
      </c>
      <c r="G439" s="4">
        <v>500</v>
      </c>
      <c r="H439" s="4">
        <v>3000</v>
      </c>
      <c r="I439" s="4">
        <v>1736.54</v>
      </c>
      <c r="J439" s="4">
        <v>1263.46</v>
      </c>
      <c r="K439" s="7" t="s">
        <v>18</v>
      </c>
    </row>
    <row r="440" spans="1:11" x14ac:dyDescent="0.25">
      <c r="A440" s="6">
        <v>1439</v>
      </c>
      <c r="B440" s="5">
        <v>45777</v>
      </c>
      <c r="C440" s="4" t="s">
        <v>30</v>
      </c>
      <c r="D440" s="4" t="s">
        <v>23</v>
      </c>
      <c r="E440" s="4" t="s">
        <v>26</v>
      </c>
      <c r="F440" s="4">
        <v>5</v>
      </c>
      <c r="G440" s="4">
        <v>5000</v>
      </c>
      <c r="H440" s="4">
        <v>25000</v>
      </c>
      <c r="I440" s="4">
        <v>19870.11</v>
      </c>
      <c r="J440" s="4">
        <v>5129.8900000000003</v>
      </c>
      <c r="K440" s="7" t="s">
        <v>14</v>
      </c>
    </row>
    <row r="441" spans="1:11" x14ac:dyDescent="0.25">
      <c r="A441" s="6">
        <v>1440</v>
      </c>
      <c r="B441" s="5">
        <v>45697</v>
      </c>
      <c r="C441" s="4" t="s">
        <v>11</v>
      </c>
      <c r="D441" s="4" t="s">
        <v>16</v>
      </c>
      <c r="E441" s="4" t="s">
        <v>17</v>
      </c>
      <c r="F441" s="4">
        <v>2</v>
      </c>
      <c r="G441" s="4">
        <v>150</v>
      </c>
      <c r="H441" s="4">
        <v>300</v>
      </c>
      <c r="I441" s="4">
        <v>187.41</v>
      </c>
      <c r="J441" s="4">
        <v>112.59</v>
      </c>
      <c r="K441" s="7" t="s">
        <v>29</v>
      </c>
    </row>
    <row r="442" spans="1:11" x14ac:dyDescent="0.25">
      <c r="A442" s="6">
        <v>1441</v>
      </c>
      <c r="B442" s="5">
        <v>45833</v>
      </c>
      <c r="C442" s="4" t="s">
        <v>15</v>
      </c>
      <c r="D442" s="4" t="s">
        <v>16</v>
      </c>
      <c r="E442" s="4" t="s">
        <v>17</v>
      </c>
      <c r="F442" s="4">
        <v>8</v>
      </c>
      <c r="G442" s="4">
        <v>150</v>
      </c>
      <c r="H442" s="4">
        <v>1200</v>
      </c>
      <c r="I442" s="4">
        <v>663.39</v>
      </c>
      <c r="J442" s="4">
        <v>536.61</v>
      </c>
      <c r="K442" s="7" t="s">
        <v>21</v>
      </c>
    </row>
    <row r="443" spans="1:11" x14ac:dyDescent="0.25">
      <c r="A443" s="6">
        <v>1442</v>
      </c>
      <c r="B443" s="5">
        <v>45703</v>
      </c>
      <c r="C443" s="4" t="s">
        <v>15</v>
      </c>
      <c r="D443" s="4" t="s">
        <v>12</v>
      </c>
      <c r="E443" s="4" t="s">
        <v>13</v>
      </c>
      <c r="F443" s="4">
        <v>8</v>
      </c>
      <c r="G443" s="4">
        <v>150</v>
      </c>
      <c r="H443" s="4">
        <v>1200</v>
      </c>
      <c r="I443" s="4">
        <v>756.16</v>
      </c>
      <c r="J443" s="4">
        <v>443.84</v>
      </c>
      <c r="K443" s="7" t="s">
        <v>18</v>
      </c>
    </row>
    <row r="444" spans="1:11" x14ac:dyDescent="0.25">
      <c r="A444" s="6">
        <v>1443</v>
      </c>
      <c r="B444" s="5">
        <v>45726</v>
      </c>
      <c r="C444" s="4" t="s">
        <v>11</v>
      </c>
      <c r="D444" s="4" t="s">
        <v>23</v>
      </c>
      <c r="E444" s="4" t="s">
        <v>24</v>
      </c>
      <c r="F444" s="4">
        <v>5</v>
      </c>
      <c r="G444" s="4">
        <v>250</v>
      </c>
      <c r="H444" s="4">
        <v>1250</v>
      </c>
      <c r="I444" s="4">
        <v>854.94</v>
      </c>
      <c r="J444" s="4">
        <v>395.06</v>
      </c>
      <c r="K444" s="7" t="s">
        <v>18</v>
      </c>
    </row>
    <row r="445" spans="1:11" x14ac:dyDescent="0.25">
      <c r="A445" s="6">
        <v>1444</v>
      </c>
      <c r="B445" s="5">
        <v>45883</v>
      </c>
      <c r="C445" s="4" t="s">
        <v>32</v>
      </c>
      <c r="D445" s="4" t="s">
        <v>12</v>
      </c>
      <c r="E445" s="4" t="s">
        <v>31</v>
      </c>
      <c r="F445" s="4">
        <v>1</v>
      </c>
      <c r="G445" s="4">
        <v>2500</v>
      </c>
      <c r="H445" s="4">
        <v>2500</v>
      </c>
      <c r="I445" s="4">
        <v>1943.77</v>
      </c>
      <c r="J445" s="4">
        <v>556.23</v>
      </c>
      <c r="K445" s="7" t="s">
        <v>14</v>
      </c>
    </row>
    <row r="446" spans="1:11" x14ac:dyDescent="0.25">
      <c r="A446" s="6">
        <v>1445</v>
      </c>
      <c r="B446" s="5">
        <v>45884</v>
      </c>
      <c r="C446" s="4" t="s">
        <v>11</v>
      </c>
      <c r="D446" s="4" t="s">
        <v>16</v>
      </c>
      <c r="E446" s="4" t="s">
        <v>17</v>
      </c>
      <c r="F446" s="4">
        <v>3</v>
      </c>
      <c r="G446" s="4">
        <v>1200</v>
      </c>
      <c r="H446" s="4">
        <v>3600</v>
      </c>
      <c r="I446" s="4">
        <v>2756.26</v>
      </c>
      <c r="J446" s="4">
        <v>843.74</v>
      </c>
      <c r="K446" s="7" t="s">
        <v>18</v>
      </c>
    </row>
    <row r="447" spans="1:11" x14ac:dyDescent="0.25">
      <c r="A447" s="6">
        <v>1446</v>
      </c>
      <c r="B447" s="5">
        <v>45837</v>
      </c>
      <c r="C447" s="4" t="s">
        <v>30</v>
      </c>
      <c r="D447" s="4" t="s">
        <v>16</v>
      </c>
      <c r="E447" s="4" t="s">
        <v>20</v>
      </c>
      <c r="F447" s="4">
        <v>2</v>
      </c>
      <c r="G447" s="4">
        <v>2500</v>
      </c>
      <c r="H447" s="4">
        <v>5000</v>
      </c>
      <c r="I447" s="4">
        <v>4027.52</v>
      </c>
      <c r="J447" s="4">
        <v>972.48</v>
      </c>
      <c r="K447" s="7" t="s">
        <v>27</v>
      </c>
    </row>
    <row r="448" spans="1:11" x14ac:dyDescent="0.25">
      <c r="A448" s="6">
        <v>1447</v>
      </c>
      <c r="B448" s="5">
        <v>45941</v>
      </c>
      <c r="C448" s="4" t="s">
        <v>19</v>
      </c>
      <c r="D448" s="4" t="s">
        <v>16</v>
      </c>
      <c r="E448" s="4" t="s">
        <v>20</v>
      </c>
      <c r="F448" s="4">
        <v>5</v>
      </c>
      <c r="G448" s="4">
        <v>5000</v>
      </c>
      <c r="H448" s="4">
        <v>25000</v>
      </c>
      <c r="I448" s="4">
        <v>14487.18</v>
      </c>
      <c r="J448" s="4">
        <v>10512.82</v>
      </c>
      <c r="K448" s="7" t="s">
        <v>29</v>
      </c>
    </row>
    <row r="449" spans="1:11" x14ac:dyDescent="0.25">
      <c r="A449" s="6">
        <v>1448</v>
      </c>
      <c r="B449" s="5">
        <v>45671</v>
      </c>
      <c r="C449" s="4" t="s">
        <v>32</v>
      </c>
      <c r="D449" s="4" t="s">
        <v>12</v>
      </c>
      <c r="E449" s="4" t="s">
        <v>31</v>
      </c>
      <c r="F449" s="4">
        <v>5</v>
      </c>
      <c r="G449" s="4">
        <v>12000</v>
      </c>
      <c r="H449" s="4">
        <v>60000</v>
      </c>
      <c r="I449" s="4">
        <v>52766.86</v>
      </c>
      <c r="J449" s="4">
        <v>7233.14</v>
      </c>
      <c r="K449" s="7" t="s">
        <v>28</v>
      </c>
    </row>
    <row r="450" spans="1:11" x14ac:dyDescent="0.25">
      <c r="A450" s="6">
        <v>1449</v>
      </c>
      <c r="B450" s="5">
        <v>45809</v>
      </c>
      <c r="C450" s="4" t="s">
        <v>15</v>
      </c>
      <c r="D450" s="4" t="s">
        <v>12</v>
      </c>
      <c r="E450" s="4" t="s">
        <v>31</v>
      </c>
      <c r="F450" s="4">
        <v>9</v>
      </c>
      <c r="G450" s="4">
        <v>250</v>
      </c>
      <c r="H450" s="4">
        <v>2250</v>
      </c>
      <c r="I450" s="4">
        <v>1826.43</v>
      </c>
      <c r="J450" s="4">
        <v>423.57</v>
      </c>
      <c r="K450" s="7" t="s">
        <v>28</v>
      </c>
    </row>
    <row r="451" spans="1:11" x14ac:dyDescent="0.25">
      <c r="A451" s="6">
        <v>1450</v>
      </c>
      <c r="B451" s="5">
        <v>45962</v>
      </c>
      <c r="C451" s="4" t="s">
        <v>15</v>
      </c>
      <c r="D451" s="4" t="s">
        <v>23</v>
      </c>
      <c r="E451" s="4" t="s">
        <v>24</v>
      </c>
      <c r="F451" s="4">
        <v>2</v>
      </c>
      <c r="G451" s="4">
        <v>250</v>
      </c>
      <c r="H451" s="4">
        <v>500</v>
      </c>
      <c r="I451" s="4">
        <v>362.43</v>
      </c>
      <c r="J451" s="4">
        <v>137.57</v>
      </c>
      <c r="K451" s="7" t="s">
        <v>29</v>
      </c>
    </row>
    <row r="452" spans="1:11" x14ac:dyDescent="0.25">
      <c r="A452" s="6">
        <v>1451</v>
      </c>
      <c r="B452" s="5">
        <v>45949</v>
      </c>
      <c r="C452" s="4" t="s">
        <v>30</v>
      </c>
      <c r="D452" s="4" t="s">
        <v>16</v>
      </c>
      <c r="E452" s="4" t="s">
        <v>22</v>
      </c>
      <c r="F452" s="4">
        <v>6</v>
      </c>
      <c r="G452" s="4">
        <v>250</v>
      </c>
      <c r="H452" s="4">
        <v>1500</v>
      </c>
      <c r="I452" s="4">
        <v>1028.0899999999999</v>
      </c>
      <c r="J452" s="4">
        <v>471.91</v>
      </c>
      <c r="K452" s="7" t="s">
        <v>27</v>
      </c>
    </row>
    <row r="453" spans="1:11" x14ac:dyDescent="0.25">
      <c r="A453" s="6">
        <v>1452</v>
      </c>
      <c r="B453" s="5">
        <v>45695</v>
      </c>
      <c r="C453" s="4" t="s">
        <v>15</v>
      </c>
      <c r="D453" s="4" t="s">
        <v>12</v>
      </c>
      <c r="E453" s="4" t="s">
        <v>31</v>
      </c>
      <c r="F453" s="4">
        <v>3</v>
      </c>
      <c r="G453" s="4">
        <v>12000</v>
      </c>
      <c r="H453" s="4">
        <v>36000</v>
      </c>
      <c r="I453" s="4">
        <v>25734.78</v>
      </c>
      <c r="J453" s="4">
        <v>10265.219999999999</v>
      </c>
      <c r="K453" s="7" t="s">
        <v>29</v>
      </c>
    </row>
    <row r="454" spans="1:11" x14ac:dyDescent="0.25">
      <c r="A454" s="6">
        <v>1453</v>
      </c>
      <c r="B454" s="5">
        <v>45688</v>
      </c>
      <c r="C454" s="4" t="s">
        <v>30</v>
      </c>
      <c r="D454" s="4" t="s">
        <v>16</v>
      </c>
      <c r="E454" s="4" t="s">
        <v>20</v>
      </c>
      <c r="F454" s="4">
        <v>5</v>
      </c>
      <c r="G454" s="4">
        <v>250</v>
      </c>
      <c r="H454" s="4">
        <v>1250</v>
      </c>
      <c r="I454" s="4">
        <v>704.92</v>
      </c>
      <c r="J454" s="4">
        <v>545.08000000000004</v>
      </c>
      <c r="K454" s="7" t="s">
        <v>29</v>
      </c>
    </row>
    <row r="455" spans="1:11" x14ac:dyDescent="0.25">
      <c r="A455" s="6">
        <v>1454</v>
      </c>
      <c r="B455" s="5">
        <v>46017</v>
      </c>
      <c r="C455" s="4" t="s">
        <v>30</v>
      </c>
      <c r="D455" s="4" t="s">
        <v>23</v>
      </c>
      <c r="E455" s="4" t="s">
        <v>26</v>
      </c>
      <c r="F455" s="4">
        <v>9</v>
      </c>
      <c r="G455" s="4">
        <v>12000</v>
      </c>
      <c r="H455" s="4">
        <v>108000</v>
      </c>
      <c r="I455" s="4">
        <v>75103.33</v>
      </c>
      <c r="J455" s="4">
        <v>32896.67</v>
      </c>
      <c r="K455" s="7" t="s">
        <v>18</v>
      </c>
    </row>
    <row r="456" spans="1:11" x14ac:dyDescent="0.25">
      <c r="A456" s="6">
        <v>1455</v>
      </c>
      <c r="B456" s="5">
        <v>45700</v>
      </c>
      <c r="C456" s="4" t="s">
        <v>32</v>
      </c>
      <c r="D456" s="4" t="s">
        <v>12</v>
      </c>
      <c r="E456" s="4" t="s">
        <v>31</v>
      </c>
      <c r="F456" s="4">
        <v>9</v>
      </c>
      <c r="G456" s="4">
        <v>2500</v>
      </c>
      <c r="H456" s="4">
        <v>22500</v>
      </c>
      <c r="I456" s="4">
        <v>13577.36</v>
      </c>
      <c r="J456" s="4">
        <v>8922.64</v>
      </c>
      <c r="K456" s="7" t="s">
        <v>18</v>
      </c>
    </row>
    <row r="457" spans="1:11" x14ac:dyDescent="0.25">
      <c r="A457" s="6">
        <v>1456</v>
      </c>
      <c r="B457" s="5">
        <v>45958</v>
      </c>
      <c r="C457" s="4" t="s">
        <v>15</v>
      </c>
      <c r="D457" s="4" t="s">
        <v>12</v>
      </c>
      <c r="E457" s="4" t="s">
        <v>13</v>
      </c>
      <c r="F457" s="4">
        <v>3</v>
      </c>
      <c r="G457" s="4">
        <v>2500</v>
      </c>
      <c r="H457" s="4">
        <v>7500</v>
      </c>
      <c r="I457" s="4">
        <v>4982.72</v>
      </c>
      <c r="J457" s="4">
        <v>2517.2800000000002</v>
      </c>
      <c r="K457" s="7" t="s">
        <v>27</v>
      </c>
    </row>
    <row r="458" spans="1:11" x14ac:dyDescent="0.25">
      <c r="A458" s="6">
        <v>1457</v>
      </c>
      <c r="B458" s="5">
        <v>45880</v>
      </c>
      <c r="C458" s="4" t="s">
        <v>15</v>
      </c>
      <c r="D458" s="4" t="s">
        <v>12</v>
      </c>
      <c r="E458" s="4" t="s">
        <v>33</v>
      </c>
      <c r="F458" s="4">
        <v>4</v>
      </c>
      <c r="G458" s="4">
        <v>150</v>
      </c>
      <c r="H458" s="4">
        <v>600</v>
      </c>
      <c r="I458" s="4">
        <v>381.34</v>
      </c>
      <c r="J458" s="4">
        <v>218.66</v>
      </c>
      <c r="K458" s="7" t="s">
        <v>21</v>
      </c>
    </row>
    <row r="459" spans="1:11" x14ac:dyDescent="0.25">
      <c r="A459" s="6">
        <v>1458</v>
      </c>
      <c r="B459" s="5">
        <v>45994</v>
      </c>
      <c r="C459" s="4" t="s">
        <v>11</v>
      </c>
      <c r="D459" s="4" t="s">
        <v>12</v>
      </c>
      <c r="E459" s="4" t="s">
        <v>31</v>
      </c>
      <c r="F459" s="4">
        <v>1</v>
      </c>
      <c r="G459" s="4">
        <v>500</v>
      </c>
      <c r="H459" s="4">
        <v>500</v>
      </c>
      <c r="I459" s="4">
        <v>391.56</v>
      </c>
      <c r="J459" s="4">
        <v>108.44</v>
      </c>
      <c r="K459" s="7" t="s">
        <v>18</v>
      </c>
    </row>
    <row r="460" spans="1:11" x14ac:dyDescent="0.25">
      <c r="A460" s="6">
        <v>1459</v>
      </c>
      <c r="B460" s="5">
        <v>45912</v>
      </c>
      <c r="C460" s="4" t="s">
        <v>32</v>
      </c>
      <c r="D460" s="4" t="s">
        <v>16</v>
      </c>
      <c r="E460" s="4" t="s">
        <v>17</v>
      </c>
      <c r="F460" s="4">
        <v>3</v>
      </c>
      <c r="G460" s="4">
        <v>5000</v>
      </c>
      <c r="H460" s="4">
        <v>15000</v>
      </c>
      <c r="I460" s="4">
        <v>8309.59</v>
      </c>
      <c r="J460" s="4">
        <v>6690.41</v>
      </c>
      <c r="K460" s="7" t="s">
        <v>29</v>
      </c>
    </row>
    <row r="461" spans="1:11" x14ac:dyDescent="0.25">
      <c r="A461" s="6">
        <v>1460</v>
      </c>
      <c r="B461" s="5">
        <v>45795</v>
      </c>
      <c r="C461" s="4" t="s">
        <v>15</v>
      </c>
      <c r="D461" s="4" t="s">
        <v>12</v>
      </c>
      <c r="E461" s="4" t="s">
        <v>31</v>
      </c>
      <c r="F461" s="4">
        <v>5</v>
      </c>
      <c r="G461" s="4">
        <v>250</v>
      </c>
      <c r="H461" s="4">
        <v>1250</v>
      </c>
      <c r="I461" s="4">
        <v>850.19</v>
      </c>
      <c r="J461" s="4">
        <v>399.81</v>
      </c>
      <c r="K461" s="7" t="s">
        <v>18</v>
      </c>
    </row>
    <row r="462" spans="1:11" x14ac:dyDescent="0.25">
      <c r="A462" s="6">
        <v>1461</v>
      </c>
      <c r="B462" s="5">
        <v>46022</v>
      </c>
      <c r="C462" s="4" t="s">
        <v>19</v>
      </c>
      <c r="D462" s="4" t="s">
        <v>23</v>
      </c>
      <c r="E462" s="4" t="s">
        <v>24</v>
      </c>
      <c r="F462" s="4">
        <v>5</v>
      </c>
      <c r="G462" s="4">
        <v>2500</v>
      </c>
      <c r="H462" s="4">
        <v>12500</v>
      </c>
      <c r="I462" s="4">
        <v>7154.44</v>
      </c>
      <c r="J462" s="4">
        <v>5345.56</v>
      </c>
      <c r="K462" s="7" t="s">
        <v>14</v>
      </c>
    </row>
    <row r="463" spans="1:11" x14ac:dyDescent="0.25">
      <c r="A463" s="6">
        <v>1462</v>
      </c>
      <c r="B463" s="5">
        <v>45913</v>
      </c>
      <c r="C463" s="4" t="s">
        <v>19</v>
      </c>
      <c r="D463" s="4" t="s">
        <v>16</v>
      </c>
      <c r="E463" s="4" t="s">
        <v>22</v>
      </c>
      <c r="F463" s="4">
        <v>8</v>
      </c>
      <c r="G463" s="4">
        <v>2500</v>
      </c>
      <c r="H463" s="4">
        <v>20000</v>
      </c>
      <c r="I463" s="4">
        <v>13520.87</v>
      </c>
      <c r="J463" s="4">
        <v>6479.13</v>
      </c>
      <c r="K463" s="7" t="s">
        <v>28</v>
      </c>
    </row>
    <row r="464" spans="1:11" x14ac:dyDescent="0.25">
      <c r="A464" s="6">
        <v>1463</v>
      </c>
      <c r="B464" s="5">
        <v>45951</v>
      </c>
      <c r="C464" s="4" t="s">
        <v>15</v>
      </c>
      <c r="D464" s="4" t="s">
        <v>23</v>
      </c>
      <c r="E464" s="4" t="s">
        <v>25</v>
      </c>
      <c r="F464" s="4">
        <v>5</v>
      </c>
      <c r="G464" s="4">
        <v>12000</v>
      </c>
      <c r="H464" s="4">
        <v>60000</v>
      </c>
      <c r="I464" s="4">
        <v>35161</v>
      </c>
      <c r="J464" s="4">
        <v>24839</v>
      </c>
      <c r="K464" s="7" t="s">
        <v>28</v>
      </c>
    </row>
    <row r="465" spans="1:11" x14ac:dyDescent="0.25">
      <c r="A465" s="6">
        <v>1464</v>
      </c>
      <c r="B465" s="5">
        <v>45664</v>
      </c>
      <c r="C465" s="4" t="s">
        <v>11</v>
      </c>
      <c r="D465" s="4" t="s">
        <v>12</v>
      </c>
      <c r="E465" s="4" t="s">
        <v>31</v>
      </c>
      <c r="F465" s="4">
        <v>1</v>
      </c>
      <c r="G465" s="4">
        <v>150</v>
      </c>
      <c r="H465" s="4">
        <v>150</v>
      </c>
      <c r="I465" s="4">
        <v>127.58</v>
      </c>
      <c r="J465" s="4">
        <v>22.42</v>
      </c>
      <c r="K465" s="7" t="s">
        <v>18</v>
      </c>
    </row>
    <row r="466" spans="1:11" x14ac:dyDescent="0.25">
      <c r="A466" s="6">
        <v>1465</v>
      </c>
      <c r="B466" s="5">
        <v>45676</v>
      </c>
      <c r="C466" s="4" t="s">
        <v>19</v>
      </c>
      <c r="D466" s="4" t="s">
        <v>23</v>
      </c>
      <c r="E466" s="4" t="s">
        <v>24</v>
      </c>
      <c r="F466" s="4">
        <v>7</v>
      </c>
      <c r="G466" s="4">
        <v>250</v>
      </c>
      <c r="H466" s="4">
        <v>1750</v>
      </c>
      <c r="I466" s="4">
        <v>1072.1099999999999</v>
      </c>
      <c r="J466" s="4">
        <v>677.89</v>
      </c>
      <c r="K466" s="7" t="s">
        <v>14</v>
      </c>
    </row>
    <row r="467" spans="1:11" x14ac:dyDescent="0.25">
      <c r="A467" s="6">
        <v>1466</v>
      </c>
      <c r="B467" s="5">
        <v>45871</v>
      </c>
      <c r="C467" s="4" t="s">
        <v>32</v>
      </c>
      <c r="D467" s="4" t="s">
        <v>12</v>
      </c>
      <c r="E467" s="4" t="s">
        <v>31</v>
      </c>
      <c r="F467" s="4">
        <v>7</v>
      </c>
      <c r="G467" s="4">
        <v>250</v>
      </c>
      <c r="H467" s="4">
        <v>1750</v>
      </c>
      <c r="I467" s="4">
        <v>1159.5999999999999</v>
      </c>
      <c r="J467" s="4">
        <v>590.4</v>
      </c>
      <c r="K467" s="7" t="s">
        <v>27</v>
      </c>
    </row>
    <row r="468" spans="1:11" x14ac:dyDescent="0.25">
      <c r="A468" s="6">
        <v>1467</v>
      </c>
      <c r="B468" s="5">
        <v>45684</v>
      </c>
      <c r="C468" s="4" t="s">
        <v>11</v>
      </c>
      <c r="D468" s="4" t="s">
        <v>16</v>
      </c>
      <c r="E468" s="4" t="s">
        <v>17</v>
      </c>
      <c r="F468" s="4">
        <v>6</v>
      </c>
      <c r="G468" s="4">
        <v>150</v>
      </c>
      <c r="H468" s="4">
        <v>900</v>
      </c>
      <c r="I468" s="4">
        <v>653.14</v>
      </c>
      <c r="J468" s="4">
        <v>246.86</v>
      </c>
      <c r="K468" s="7" t="s">
        <v>28</v>
      </c>
    </row>
    <row r="469" spans="1:11" x14ac:dyDescent="0.25">
      <c r="A469" s="6">
        <v>1468</v>
      </c>
      <c r="B469" s="5">
        <v>45802</v>
      </c>
      <c r="C469" s="4" t="s">
        <v>32</v>
      </c>
      <c r="D469" s="4" t="s">
        <v>12</v>
      </c>
      <c r="E469" s="4" t="s">
        <v>13</v>
      </c>
      <c r="F469" s="4">
        <v>7</v>
      </c>
      <c r="G469" s="4">
        <v>150</v>
      </c>
      <c r="H469" s="4">
        <v>1050</v>
      </c>
      <c r="I469" s="4">
        <v>899.79</v>
      </c>
      <c r="J469" s="4">
        <v>150.21</v>
      </c>
      <c r="K469" s="7" t="s">
        <v>27</v>
      </c>
    </row>
    <row r="470" spans="1:11" x14ac:dyDescent="0.25">
      <c r="A470" s="6">
        <v>1469</v>
      </c>
      <c r="B470" s="5">
        <v>45807</v>
      </c>
      <c r="C470" s="4" t="s">
        <v>19</v>
      </c>
      <c r="D470" s="4" t="s">
        <v>16</v>
      </c>
      <c r="E470" s="4" t="s">
        <v>17</v>
      </c>
      <c r="F470" s="4">
        <v>8</v>
      </c>
      <c r="G470" s="4">
        <v>150</v>
      </c>
      <c r="H470" s="4">
        <v>1200</v>
      </c>
      <c r="I470" s="4">
        <v>814.95</v>
      </c>
      <c r="J470" s="4">
        <v>385.05</v>
      </c>
      <c r="K470" s="7" t="s">
        <v>27</v>
      </c>
    </row>
    <row r="471" spans="1:11" x14ac:dyDescent="0.25">
      <c r="A471" s="6">
        <v>1470</v>
      </c>
      <c r="B471" s="5">
        <v>45910</v>
      </c>
      <c r="C471" s="4" t="s">
        <v>11</v>
      </c>
      <c r="D471" s="4" t="s">
        <v>12</v>
      </c>
      <c r="E471" s="4" t="s">
        <v>31</v>
      </c>
      <c r="F471" s="4">
        <v>4</v>
      </c>
      <c r="G471" s="4">
        <v>1200</v>
      </c>
      <c r="H471" s="4">
        <v>4800</v>
      </c>
      <c r="I471" s="4">
        <v>3258.7</v>
      </c>
      <c r="J471" s="4">
        <v>1541.3</v>
      </c>
      <c r="K471" s="7" t="s">
        <v>14</v>
      </c>
    </row>
    <row r="472" spans="1:11" x14ac:dyDescent="0.25">
      <c r="A472" s="6">
        <v>1471</v>
      </c>
      <c r="B472" s="5">
        <v>45670</v>
      </c>
      <c r="C472" s="4" t="s">
        <v>11</v>
      </c>
      <c r="D472" s="4" t="s">
        <v>12</v>
      </c>
      <c r="E472" s="4" t="s">
        <v>13</v>
      </c>
      <c r="F472" s="4">
        <v>3</v>
      </c>
      <c r="G472" s="4">
        <v>150</v>
      </c>
      <c r="H472" s="4">
        <v>450</v>
      </c>
      <c r="I472" s="4">
        <v>394.35</v>
      </c>
      <c r="J472" s="4">
        <v>55.65</v>
      </c>
      <c r="K472" s="7" t="s">
        <v>29</v>
      </c>
    </row>
    <row r="473" spans="1:11" x14ac:dyDescent="0.25">
      <c r="A473" s="6">
        <v>1472</v>
      </c>
      <c r="B473" s="5">
        <v>45994</v>
      </c>
      <c r="C473" s="4" t="s">
        <v>30</v>
      </c>
      <c r="D473" s="4" t="s">
        <v>23</v>
      </c>
      <c r="E473" s="4" t="s">
        <v>26</v>
      </c>
      <c r="F473" s="4">
        <v>1</v>
      </c>
      <c r="G473" s="4">
        <v>500</v>
      </c>
      <c r="H473" s="4">
        <v>500</v>
      </c>
      <c r="I473" s="4">
        <v>275.26</v>
      </c>
      <c r="J473" s="4">
        <v>224.74</v>
      </c>
      <c r="K473" s="7" t="s">
        <v>14</v>
      </c>
    </row>
    <row r="474" spans="1:11" x14ac:dyDescent="0.25">
      <c r="A474" s="6">
        <v>1473</v>
      </c>
      <c r="B474" s="5">
        <v>45779</v>
      </c>
      <c r="C474" s="4" t="s">
        <v>30</v>
      </c>
      <c r="D474" s="4" t="s">
        <v>12</v>
      </c>
      <c r="E474" s="4" t="s">
        <v>33</v>
      </c>
      <c r="F474" s="4">
        <v>2</v>
      </c>
      <c r="G474" s="4">
        <v>250</v>
      </c>
      <c r="H474" s="4">
        <v>500</v>
      </c>
      <c r="I474" s="4">
        <v>367.72</v>
      </c>
      <c r="J474" s="4">
        <v>132.28</v>
      </c>
      <c r="K474" s="7" t="s">
        <v>21</v>
      </c>
    </row>
    <row r="475" spans="1:11" x14ac:dyDescent="0.25">
      <c r="A475" s="6">
        <v>1474</v>
      </c>
      <c r="B475" s="5">
        <v>45776</v>
      </c>
      <c r="C475" s="4" t="s">
        <v>19</v>
      </c>
      <c r="D475" s="4" t="s">
        <v>16</v>
      </c>
      <c r="E475" s="4" t="s">
        <v>20</v>
      </c>
      <c r="F475" s="4">
        <v>5</v>
      </c>
      <c r="G475" s="4">
        <v>150</v>
      </c>
      <c r="H475" s="4">
        <v>750</v>
      </c>
      <c r="I475" s="4">
        <v>424.02</v>
      </c>
      <c r="J475" s="4">
        <v>325.98</v>
      </c>
      <c r="K475" s="7" t="s">
        <v>21</v>
      </c>
    </row>
    <row r="476" spans="1:11" x14ac:dyDescent="0.25">
      <c r="A476" s="6">
        <v>1475</v>
      </c>
      <c r="B476" s="5">
        <v>45706</v>
      </c>
      <c r="C476" s="4" t="s">
        <v>19</v>
      </c>
      <c r="D476" s="4" t="s">
        <v>12</v>
      </c>
      <c r="E476" s="4" t="s">
        <v>33</v>
      </c>
      <c r="F476" s="4">
        <v>8</v>
      </c>
      <c r="G476" s="4">
        <v>5000</v>
      </c>
      <c r="H476" s="4">
        <v>40000</v>
      </c>
      <c r="I476" s="4">
        <v>23188.63</v>
      </c>
      <c r="J476" s="4">
        <v>16811.37</v>
      </c>
      <c r="K476" s="7" t="s">
        <v>28</v>
      </c>
    </row>
    <row r="477" spans="1:11" x14ac:dyDescent="0.25">
      <c r="A477" s="6">
        <v>1476</v>
      </c>
      <c r="B477" s="5">
        <v>45880</v>
      </c>
      <c r="C477" s="4" t="s">
        <v>11</v>
      </c>
      <c r="D477" s="4" t="s">
        <v>12</v>
      </c>
      <c r="E477" s="4" t="s">
        <v>33</v>
      </c>
      <c r="F477" s="4">
        <v>2</v>
      </c>
      <c r="G477" s="4">
        <v>2500</v>
      </c>
      <c r="H477" s="4">
        <v>5000</v>
      </c>
      <c r="I477" s="4">
        <v>3743.69</v>
      </c>
      <c r="J477" s="4">
        <v>1256.31</v>
      </c>
      <c r="K477" s="7" t="s">
        <v>28</v>
      </c>
    </row>
    <row r="478" spans="1:11" x14ac:dyDescent="0.25">
      <c r="A478" s="6">
        <v>1477</v>
      </c>
      <c r="B478" s="5">
        <v>45825</v>
      </c>
      <c r="C478" s="4" t="s">
        <v>32</v>
      </c>
      <c r="D478" s="4" t="s">
        <v>23</v>
      </c>
      <c r="E478" s="4" t="s">
        <v>24</v>
      </c>
      <c r="F478" s="4">
        <v>6</v>
      </c>
      <c r="G478" s="4">
        <v>12000</v>
      </c>
      <c r="H478" s="4">
        <v>72000</v>
      </c>
      <c r="I478" s="4">
        <v>49502.41</v>
      </c>
      <c r="J478" s="4">
        <v>22497.59</v>
      </c>
      <c r="K478" s="7" t="s">
        <v>21</v>
      </c>
    </row>
    <row r="479" spans="1:11" x14ac:dyDescent="0.25">
      <c r="A479" s="6">
        <v>1478</v>
      </c>
      <c r="B479" s="5">
        <v>45957</v>
      </c>
      <c r="C479" s="4" t="s">
        <v>15</v>
      </c>
      <c r="D479" s="4" t="s">
        <v>23</v>
      </c>
      <c r="E479" s="4" t="s">
        <v>25</v>
      </c>
      <c r="F479" s="4">
        <v>2</v>
      </c>
      <c r="G479" s="4">
        <v>250</v>
      </c>
      <c r="H479" s="4">
        <v>500</v>
      </c>
      <c r="I479" s="4">
        <v>298.82</v>
      </c>
      <c r="J479" s="4">
        <v>201.18</v>
      </c>
      <c r="K479" s="7" t="s">
        <v>28</v>
      </c>
    </row>
    <row r="480" spans="1:11" x14ac:dyDescent="0.25">
      <c r="A480" s="6">
        <v>1479</v>
      </c>
      <c r="B480" s="5">
        <v>45719</v>
      </c>
      <c r="C480" s="4" t="s">
        <v>19</v>
      </c>
      <c r="D480" s="4" t="s">
        <v>16</v>
      </c>
      <c r="E480" s="4" t="s">
        <v>20</v>
      </c>
      <c r="F480" s="4">
        <v>8</v>
      </c>
      <c r="G480" s="4">
        <v>1200</v>
      </c>
      <c r="H480" s="4">
        <v>9600</v>
      </c>
      <c r="I480" s="4">
        <v>6335.15</v>
      </c>
      <c r="J480" s="4">
        <v>3264.85</v>
      </c>
      <c r="K480" s="7" t="s">
        <v>27</v>
      </c>
    </row>
    <row r="481" spans="1:11" x14ac:dyDescent="0.25">
      <c r="A481" s="6">
        <v>1480</v>
      </c>
      <c r="B481" s="5">
        <v>45719</v>
      </c>
      <c r="C481" s="4" t="s">
        <v>15</v>
      </c>
      <c r="D481" s="4" t="s">
        <v>16</v>
      </c>
      <c r="E481" s="4" t="s">
        <v>22</v>
      </c>
      <c r="F481" s="4">
        <v>5</v>
      </c>
      <c r="G481" s="4">
        <v>1200</v>
      </c>
      <c r="H481" s="4">
        <v>6000</v>
      </c>
      <c r="I481" s="4">
        <v>3856.52</v>
      </c>
      <c r="J481" s="4">
        <v>2143.48</v>
      </c>
      <c r="K481" s="7" t="s">
        <v>28</v>
      </c>
    </row>
    <row r="482" spans="1:11" x14ac:dyDescent="0.25">
      <c r="A482" s="6">
        <v>1481</v>
      </c>
      <c r="B482" s="5">
        <v>45825</v>
      </c>
      <c r="C482" s="4" t="s">
        <v>11</v>
      </c>
      <c r="D482" s="4" t="s">
        <v>12</v>
      </c>
      <c r="E482" s="4" t="s">
        <v>33</v>
      </c>
      <c r="F482" s="4">
        <v>10</v>
      </c>
      <c r="G482" s="4">
        <v>150</v>
      </c>
      <c r="H482" s="4">
        <v>1500</v>
      </c>
      <c r="I482" s="4">
        <v>937.89</v>
      </c>
      <c r="J482" s="4">
        <v>562.11</v>
      </c>
      <c r="K482" s="7" t="s">
        <v>18</v>
      </c>
    </row>
    <row r="483" spans="1:11" x14ac:dyDescent="0.25">
      <c r="A483" s="6">
        <v>1482</v>
      </c>
      <c r="B483" s="5">
        <v>46004</v>
      </c>
      <c r="C483" s="4" t="s">
        <v>32</v>
      </c>
      <c r="D483" s="4" t="s">
        <v>12</v>
      </c>
      <c r="E483" s="4" t="s">
        <v>13</v>
      </c>
      <c r="F483" s="4">
        <v>6</v>
      </c>
      <c r="G483" s="4">
        <v>1200</v>
      </c>
      <c r="H483" s="4">
        <v>7200</v>
      </c>
      <c r="I483" s="4">
        <v>5253.92</v>
      </c>
      <c r="J483" s="4">
        <v>1946.08</v>
      </c>
      <c r="K483" s="7" t="s">
        <v>27</v>
      </c>
    </row>
    <row r="484" spans="1:11" x14ac:dyDescent="0.25">
      <c r="A484" s="6">
        <v>1483</v>
      </c>
      <c r="B484" s="5">
        <v>45939</v>
      </c>
      <c r="C484" s="4" t="s">
        <v>11</v>
      </c>
      <c r="D484" s="4" t="s">
        <v>16</v>
      </c>
      <c r="E484" s="4" t="s">
        <v>20</v>
      </c>
      <c r="F484" s="4">
        <v>7</v>
      </c>
      <c r="G484" s="4">
        <v>12000</v>
      </c>
      <c r="H484" s="4">
        <v>84000</v>
      </c>
      <c r="I484" s="4">
        <v>59494.71</v>
      </c>
      <c r="J484" s="4">
        <v>24505.29</v>
      </c>
      <c r="K484" s="7" t="s">
        <v>18</v>
      </c>
    </row>
    <row r="485" spans="1:11" x14ac:dyDescent="0.25">
      <c r="A485" s="6">
        <v>1484</v>
      </c>
      <c r="B485" s="5">
        <v>45771</v>
      </c>
      <c r="C485" s="4" t="s">
        <v>11</v>
      </c>
      <c r="D485" s="4" t="s">
        <v>23</v>
      </c>
      <c r="E485" s="4" t="s">
        <v>25</v>
      </c>
      <c r="F485" s="4">
        <v>3</v>
      </c>
      <c r="G485" s="4">
        <v>150</v>
      </c>
      <c r="H485" s="4">
        <v>450</v>
      </c>
      <c r="I485" s="4">
        <v>249.38</v>
      </c>
      <c r="J485" s="4">
        <v>200.62</v>
      </c>
      <c r="K485" s="7" t="s">
        <v>28</v>
      </c>
    </row>
    <row r="486" spans="1:11" x14ac:dyDescent="0.25">
      <c r="A486" s="6">
        <v>1485</v>
      </c>
      <c r="B486" s="5">
        <v>45696</v>
      </c>
      <c r="C486" s="4" t="s">
        <v>15</v>
      </c>
      <c r="D486" s="4" t="s">
        <v>23</v>
      </c>
      <c r="E486" s="4" t="s">
        <v>24</v>
      </c>
      <c r="F486" s="4">
        <v>2</v>
      </c>
      <c r="G486" s="4">
        <v>2500</v>
      </c>
      <c r="H486" s="4">
        <v>5000</v>
      </c>
      <c r="I486" s="4">
        <v>3775.71</v>
      </c>
      <c r="J486" s="4">
        <v>1224.29</v>
      </c>
      <c r="K486" s="7" t="s">
        <v>18</v>
      </c>
    </row>
    <row r="487" spans="1:11" x14ac:dyDescent="0.25">
      <c r="A487" s="6">
        <v>1486</v>
      </c>
      <c r="B487" s="5">
        <v>45827</v>
      </c>
      <c r="C487" s="4" t="s">
        <v>15</v>
      </c>
      <c r="D487" s="4" t="s">
        <v>16</v>
      </c>
      <c r="E487" s="4" t="s">
        <v>17</v>
      </c>
      <c r="F487" s="4">
        <v>8</v>
      </c>
      <c r="G487" s="4">
        <v>12000</v>
      </c>
      <c r="H487" s="4">
        <v>96000</v>
      </c>
      <c r="I487" s="4">
        <v>57127.4</v>
      </c>
      <c r="J487" s="4">
        <v>38872.6</v>
      </c>
      <c r="K487" s="7" t="s">
        <v>18</v>
      </c>
    </row>
    <row r="488" spans="1:11" x14ac:dyDescent="0.25">
      <c r="A488" s="6">
        <v>1487</v>
      </c>
      <c r="B488" s="5">
        <v>45860</v>
      </c>
      <c r="C488" s="4" t="s">
        <v>30</v>
      </c>
      <c r="D488" s="4" t="s">
        <v>23</v>
      </c>
      <c r="E488" s="4" t="s">
        <v>25</v>
      </c>
      <c r="F488" s="4">
        <v>3</v>
      </c>
      <c r="G488" s="4">
        <v>2500</v>
      </c>
      <c r="H488" s="4">
        <v>7500</v>
      </c>
      <c r="I488" s="4">
        <v>5262.04</v>
      </c>
      <c r="J488" s="4">
        <v>2237.96</v>
      </c>
      <c r="K488" s="7" t="s">
        <v>18</v>
      </c>
    </row>
    <row r="489" spans="1:11" x14ac:dyDescent="0.25">
      <c r="A489" s="6">
        <v>1488</v>
      </c>
      <c r="B489" s="5">
        <v>45753</v>
      </c>
      <c r="C489" s="4" t="s">
        <v>32</v>
      </c>
      <c r="D489" s="4" t="s">
        <v>23</v>
      </c>
      <c r="E489" s="4" t="s">
        <v>26</v>
      </c>
      <c r="F489" s="4">
        <v>7</v>
      </c>
      <c r="G489" s="4">
        <v>250</v>
      </c>
      <c r="H489" s="4">
        <v>1750</v>
      </c>
      <c r="I489" s="4">
        <v>1179.29</v>
      </c>
      <c r="J489" s="4">
        <v>570.71</v>
      </c>
      <c r="K489" s="7" t="s">
        <v>27</v>
      </c>
    </row>
    <row r="490" spans="1:11" x14ac:dyDescent="0.25">
      <c r="A490" s="6">
        <v>1489</v>
      </c>
      <c r="B490" s="5">
        <v>45783</v>
      </c>
      <c r="C490" s="4" t="s">
        <v>32</v>
      </c>
      <c r="D490" s="4" t="s">
        <v>23</v>
      </c>
      <c r="E490" s="4" t="s">
        <v>25</v>
      </c>
      <c r="F490" s="4">
        <v>1</v>
      </c>
      <c r="G490" s="4">
        <v>2500</v>
      </c>
      <c r="H490" s="4">
        <v>2500</v>
      </c>
      <c r="I490" s="4">
        <v>1916.78</v>
      </c>
      <c r="J490" s="4">
        <v>583.22</v>
      </c>
      <c r="K490" s="7" t="s">
        <v>21</v>
      </c>
    </row>
    <row r="491" spans="1:11" x14ac:dyDescent="0.25">
      <c r="A491" s="6">
        <v>1490</v>
      </c>
      <c r="B491" s="5">
        <v>45854</v>
      </c>
      <c r="C491" s="4" t="s">
        <v>11</v>
      </c>
      <c r="D491" s="4" t="s">
        <v>23</v>
      </c>
      <c r="E491" s="4" t="s">
        <v>26</v>
      </c>
      <c r="F491" s="4">
        <v>8</v>
      </c>
      <c r="G491" s="4">
        <v>150</v>
      </c>
      <c r="H491" s="4">
        <v>1200</v>
      </c>
      <c r="I491" s="4">
        <v>696.84</v>
      </c>
      <c r="J491" s="4">
        <v>503.16</v>
      </c>
      <c r="K491" s="7" t="s">
        <v>21</v>
      </c>
    </row>
    <row r="492" spans="1:11" x14ac:dyDescent="0.25">
      <c r="A492" s="6">
        <v>1491</v>
      </c>
      <c r="B492" s="5">
        <v>45936</v>
      </c>
      <c r="C492" s="4" t="s">
        <v>15</v>
      </c>
      <c r="D492" s="4" t="s">
        <v>16</v>
      </c>
      <c r="E492" s="4" t="s">
        <v>17</v>
      </c>
      <c r="F492" s="4">
        <v>9</v>
      </c>
      <c r="G492" s="4">
        <v>250</v>
      </c>
      <c r="H492" s="4">
        <v>2250</v>
      </c>
      <c r="I492" s="4">
        <v>1734.22</v>
      </c>
      <c r="J492" s="4">
        <v>515.78</v>
      </c>
      <c r="K492" s="7" t="s">
        <v>21</v>
      </c>
    </row>
    <row r="493" spans="1:11" x14ac:dyDescent="0.25">
      <c r="A493" s="6">
        <v>1492</v>
      </c>
      <c r="B493" s="5">
        <v>45834</v>
      </c>
      <c r="C493" s="4" t="s">
        <v>19</v>
      </c>
      <c r="D493" s="4" t="s">
        <v>12</v>
      </c>
      <c r="E493" s="4" t="s">
        <v>33</v>
      </c>
      <c r="F493" s="4">
        <v>8</v>
      </c>
      <c r="G493" s="4">
        <v>2500</v>
      </c>
      <c r="H493" s="4">
        <v>20000</v>
      </c>
      <c r="I493" s="4">
        <v>16470.05</v>
      </c>
      <c r="J493" s="4">
        <v>3529.95</v>
      </c>
      <c r="K493" s="7" t="s">
        <v>29</v>
      </c>
    </row>
    <row r="494" spans="1:11" x14ac:dyDescent="0.25">
      <c r="A494" s="6">
        <v>1493</v>
      </c>
      <c r="B494" s="5">
        <v>45963</v>
      </c>
      <c r="C494" s="4" t="s">
        <v>11</v>
      </c>
      <c r="D494" s="4" t="s">
        <v>23</v>
      </c>
      <c r="E494" s="4" t="s">
        <v>24</v>
      </c>
      <c r="F494" s="4">
        <v>5</v>
      </c>
      <c r="G494" s="4">
        <v>250</v>
      </c>
      <c r="H494" s="4">
        <v>1250</v>
      </c>
      <c r="I494" s="4">
        <v>698.9</v>
      </c>
      <c r="J494" s="4">
        <v>551.1</v>
      </c>
      <c r="K494" s="7" t="s">
        <v>18</v>
      </c>
    </row>
    <row r="495" spans="1:11" x14ac:dyDescent="0.25">
      <c r="A495" s="6">
        <v>1494</v>
      </c>
      <c r="B495" s="5">
        <v>45957</v>
      </c>
      <c r="C495" s="4" t="s">
        <v>11</v>
      </c>
      <c r="D495" s="4" t="s">
        <v>23</v>
      </c>
      <c r="E495" s="4" t="s">
        <v>25</v>
      </c>
      <c r="F495" s="4">
        <v>8</v>
      </c>
      <c r="G495" s="4">
        <v>2500</v>
      </c>
      <c r="H495" s="4">
        <v>20000</v>
      </c>
      <c r="I495" s="4">
        <v>13502.03</v>
      </c>
      <c r="J495" s="4">
        <v>6497.97</v>
      </c>
      <c r="K495" s="7" t="s">
        <v>28</v>
      </c>
    </row>
    <row r="496" spans="1:11" x14ac:dyDescent="0.25">
      <c r="A496" s="6">
        <v>1495</v>
      </c>
      <c r="B496" s="5">
        <v>45686</v>
      </c>
      <c r="C496" s="4" t="s">
        <v>11</v>
      </c>
      <c r="D496" s="4" t="s">
        <v>16</v>
      </c>
      <c r="E496" s="4" t="s">
        <v>20</v>
      </c>
      <c r="F496" s="4">
        <v>4</v>
      </c>
      <c r="G496" s="4">
        <v>500</v>
      </c>
      <c r="H496" s="4">
        <v>2000</v>
      </c>
      <c r="I496" s="4">
        <v>1473.58</v>
      </c>
      <c r="J496" s="4">
        <v>526.41999999999996</v>
      </c>
      <c r="K496" s="7" t="s">
        <v>29</v>
      </c>
    </row>
    <row r="497" spans="1:11" x14ac:dyDescent="0.25">
      <c r="A497" s="6">
        <v>1496</v>
      </c>
      <c r="B497" s="5">
        <v>45820</v>
      </c>
      <c r="C497" s="4" t="s">
        <v>32</v>
      </c>
      <c r="D497" s="4" t="s">
        <v>23</v>
      </c>
      <c r="E497" s="4" t="s">
        <v>24</v>
      </c>
      <c r="F497" s="4">
        <v>3</v>
      </c>
      <c r="G497" s="4">
        <v>250</v>
      </c>
      <c r="H497" s="4">
        <v>750</v>
      </c>
      <c r="I497" s="4">
        <v>474.59</v>
      </c>
      <c r="J497" s="4">
        <v>275.41000000000003</v>
      </c>
      <c r="K497" s="7" t="s">
        <v>29</v>
      </c>
    </row>
    <row r="498" spans="1:11" x14ac:dyDescent="0.25">
      <c r="A498" s="6">
        <v>1497</v>
      </c>
      <c r="B498" s="5">
        <v>45946</v>
      </c>
      <c r="C498" s="4" t="s">
        <v>11</v>
      </c>
      <c r="D498" s="4" t="s">
        <v>16</v>
      </c>
      <c r="E498" s="4" t="s">
        <v>17</v>
      </c>
      <c r="F498" s="4">
        <v>6</v>
      </c>
      <c r="G498" s="4">
        <v>2500</v>
      </c>
      <c r="H498" s="4">
        <v>15000</v>
      </c>
      <c r="I498" s="4">
        <v>11208.93</v>
      </c>
      <c r="J498" s="4">
        <v>3791.07</v>
      </c>
      <c r="K498" s="7" t="s">
        <v>21</v>
      </c>
    </row>
    <row r="499" spans="1:11" x14ac:dyDescent="0.25">
      <c r="A499" s="6">
        <v>1498</v>
      </c>
      <c r="B499" s="5">
        <v>45686</v>
      </c>
      <c r="C499" s="4" t="s">
        <v>11</v>
      </c>
      <c r="D499" s="4" t="s">
        <v>12</v>
      </c>
      <c r="E499" s="4" t="s">
        <v>33</v>
      </c>
      <c r="F499" s="4">
        <v>3</v>
      </c>
      <c r="G499" s="4">
        <v>1200</v>
      </c>
      <c r="H499" s="4">
        <v>3600</v>
      </c>
      <c r="I499" s="4">
        <v>2027.83</v>
      </c>
      <c r="J499" s="4">
        <v>1572.17</v>
      </c>
      <c r="K499" s="7" t="s">
        <v>29</v>
      </c>
    </row>
    <row r="500" spans="1:11" x14ac:dyDescent="0.25">
      <c r="A500" s="6">
        <v>1499</v>
      </c>
      <c r="B500" s="5">
        <v>45972</v>
      </c>
      <c r="C500" s="4" t="s">
        <v>11</v>
      </c>
      <c r="D500" s="4" t="s">
        <v>16</v>
      </c>
      <c r="E500" s="4" t="s">
        <v>20</v>
      </c>
      <c r="F500" s="4">
        <v>9</v>
      </c>
      <c r="G500" s="4">
        <v>1200</v>
      </c>
      <c r="H500" s="4">
        <v>10800</v>
      </c>
      <c r="I500" s="4">
        <v>5942.58</v>
      </c>
      <c r="J500" s="4">
        <v>4857.42</v>
      </c>
      <c r="K500" s="7" t="s">
        <v>28</v>
      </c>
    </row>
    <row r="501" spans="1:11" x14ac:dyDescent="0.25">
      <c r="A501" s="6">
        <v>1500</v>
      </c>
      <c r="B501" s="5">
        <v>45823</v>
      </c>
      <c r="C501" s="4" t="s">
        <v>15</v>
      </c>
      <c r="D501" s="4" t="s">
        <v>23</v>
      </c>
      <c r="E501" s="4" t="s">
        <v>26</v>
      </c>
      <c r="F501" s="4">
        <v>3</v>
      </c>
      <c r="G501" s="4">
        <v>12000</v>
      </c>
      <c r="H501" s="4">
        <v>36000</v>
      </c>
      <c r="I501" s="4">
        <v>30437.98</v>
      </c>
      <c r="J501" s="4">
        <v>5562.02</v>
      </c>
      <c r="K501" s="7" t="s">
        <v>18</v>
      </c>
    </row>
    <row r="502" spans="1:11" x14ac:dyDescent="0.25">
      <c r="A502" s="6">
        <v>1501</v>
      </c>
      <c r="B502" s="5">
        <v>45927</v>
      </c>
      <c r="C502" s="4" t="s">
        <v>32</v>
      </c>
      <c r="D502" s="4" t="s">
        <v>16</v>
      </c>
      <c r="E502" s="4" t="s">
        <v>17</v>
      </c>
      <c r="F502" s="4">
        <v>3</v>
      </c>
      <c r="G502" s="4">
        <v>12000</v>
      </c>
      <c r="H502" s="4">
        <v>36000</v>
      </c>
      <c r="I502" s="4">
        <v>21197.599999999999</v>
      </c>
      <c r="J502" s="4">
        <v>14802.4</v>
      </c>
      <c r="K502" s="7" t="s">
        <v>18</v>
      </c>
    </row>
    <row r="503" spans="1:11" x14ac:dyDescent="0.25">
      <c r="A503" s="6">
        <v>1502</v>
      </c>
      <c r="B503" s="5">
        <v>45812</v>
      </c>
      <c r="C503" s="4" t="s">
        <v>32</v>
      </c>
      <c r="D503" s="4" t="s">
        <v>23</v>
      </c>
      <c r="E503" s="4" t="s">
        <v>26</v>
      </c>
      <c r="F503" s="4">
        <v>7</v>
      </c>
      <c r="G503" s="4">
        <v>2500</v>
      </c>
      <c r="H503" s="4">
        <v>17500</v>
      </c>
      <c r="I503" s="4">
        <v>10243.82</v>
      </c>
      <c r="J503" s="4">
        <v>7256.18</v>
      </c>
      <c r="K503" s="7" t="s">
        <v>28</v>
      </c>
    </row>
    <row r="504" spans="1:11" x14ac:dyDescent="0.25">
      <c r="A504" s="6">
        <v>1503</v>
      </c>
      <c r="B504" s="5">
        <v>45907</v>
      </c>
      <c r="C504" s="4" t="s">
        <v>32</v>
      </c>
      <c r="D504" s="4" t="s">
        <v>16</v>
      </c>
      <c r="E504" s="4" t="s">
        <v>17</v>
      </c>
      <c r="F504" s="4">
        <v>7</v>
      </c>
      <c r="G504" s="4">
        <v>12000</v>
      </c>
      <c r="H504" s="4">
        <v>84000</v>
      </c>
      <c r="I504" s="4">
        <v>64994.42</v>
      </c>
      <c r="J504" s="4">
        <v>19005.580000000002</v>
      </c>
      <c r="K504" s="7" t="s">
        <v>28</v>
      </c>
    </row>
    <row r="505" spans="1:11" x14ac:dyDescent="0.25">
      <c r="A505" s="6">
        <v>1504</v>
      </c>
      <c r="B505" s="5">
        <v>45998</v>
      </c>
      <c r="C505" s="4" t="s">
        <v>19</v>
      </c>
      <c r="D505" s="4" t="s">
        <v>12</v>
      </c>
      <c r="E505" s="4" t="s">
        <v>31</v>
      </c>
      <c r="F505" s="4">
        <v>10</v>
      </c>
      <c r="G505" s="4">
        <v>12000</v>
      </c>
      <c r="H505" s="4">
        <v>120000</v>
      </c>
      <c r="I505" s="4">
        <v>80986.67</v>
      </c>
      <c r="J505" s="4">
        <v>39013.33</v>
      </c>
      <c r="K505" s="7" t="s">
        <v>28</v>
      </c>
    </row>
    <row r="506" spans="1:11" x14ac:dyDescent="0.25">
      <c r="A506" s="6">
        <v>1505</v>
      </c>
      <c r="B506" s="5">
        <v>45658</v>
      </c>
      <c r="C506" s="4" t="s">
        <v>19</v>
      </c>
      <c r="D506" s="4" t="s">
        <v>23</v>
      </c>
      <c r="E506" s="4" t="s">
        <v>24</v>
      </c>
      <c r="F506" s="4">
        <v>5</v>
      </c>
      <c r="G506" s="4">
        <v>250</v>
      </c>
      <c r="H506" s="4">
        <v>1250</v>
      </c>
      <c r="I506" s="4">
        <v>765.25</v>
      </c>
      <c r="J506" s="4">
        <v>484.75</v>
      </c>
      <c r="K506" s="7" t="s">
        <v>21</v>
      </c>
    </row>
    <row r="507" spans="1:11" x14ac:dyDescent="0.25">
      <c r="A507" s="6">
        <v>1506</v>
      </c>
      <c r="B507" s="5">
        <v>45971</v>
      </c>
      <c r="C507" s="4" t="s">
        <v>11</v>
      </c>
      <c r="D507" s="4" t="s">
        <v>12</v>
      </c>
      <c r="E507" s="4" t="s">
        <v>13</v>
      </c>
      <c r="F507" s="4">
        <v>3</v>
      </c>
      <c r="G507" s="4">
        <v>2500</v>
      </c>
      <c r="H507" s="4">
        <v>7500</v>
      </c>
      <c r="I507" s="4">
        <v>4960.32</v>
      </c>
      <c r="J507" s="4">
        <v>2539.6799999999998</v>
      </c>
      <c r="K507" s="7" t="s">
        <v>14</v>
      </c>
    </row>
    <row r="508" spans="1:11" x14ac:dyDescent="0.25">
      <c r="A508" s="6">
        <v>1507</v>
      </c>
      <c r="B508" s="5">
        <v>45697</v>
      </c>
      <c r="C508" s="4" t="s">
        <v>11</v>
      </c>
      <c r="D508" s="4" t="s">
        <v>12</v>
      </c>
      <c r="E508" s="4" t="s">
        <v>13</v>
      </c>
      <c r="F508" s="4">
        <v>8</v>
      </c>
      <c r="G508" s="4">
        <v>250</v>
      </c>
      <c r="H508" s="4">
        <v>2000</v>
      </c>
      <c r="I508" s="4">
        <v>1331.82</v>
      </c>
      <c r="J508" s="4">
        <v>668.18</v>
      </c>
      <c r="K508" s="7" t="s">
        <v>27</v>
      </c>
    </row>
    <row r="509" spans="1:11" x14ac:dyDescent="0.25">
      <c r="A509" s="6">
        <v>1508</v>
      </c>
      <c r="B509" s="5">
        <v>45985</v>
      </c>
      <c r="C509" s="4" t="s">
        <v>32</v>
      </c>
      <c r="D509" s="4" t="s">
        <v>23</v>
      </c>
      <c r="E509" s="4" t="s">
        <v>25</v>
      </c>
      <c r="F509" s="4">
        <v>2</v>
      </c>
      <c r="G509" s="4">
        <v>12000</v>
      </c>
      <c r="H509" s="4">
        <v>24000</v>
      </c>
      <c r="I509" s="4">
        <v>19155.310000000001</v>
      </c>
      <c r="J509" s="4">
        <v>4844.6899999999996</v>
      </c>
      <c r="K509" s="7" t="s">
        <v>21</v>
      </c>
    </row>
    <row r="510" spans="1:11" x14ac:dyDescent="0.25">
      <c r="A510" s="6">
        <v>1509</v>
      </c>
      <c r="B510" s="5">
        <v>45837</v>
      </c>
      <c r="C510" s="4" t="s">
        <v>32</v>
      </c>
      <c r="D510" s="4" t="s">
        <v>16</v>
      </c>
      <c r="E510" s="4" t="s">
        <v>22</v>
      </c>
      <c r="F510" s="4">
        <v>4</v>
      </c>
      <c r="G510" s="4">
        <v>250</v>
      </c>
      <c r="H510" s="4">
        <v>1000</v>
      </c>
      <c r="I510" s="4">
        <v>792.61</v>
      </c>
      <c r="J510" s="4">
        <v>207.39</v>
      </c>
      <c r="K510" s="7" t="s">
        <v>18</v>
      </c>
    </row>
    <row r="511" spans="1:11" x14ac:dyDescent="0.25">
      <c r="A511" s="6">
        <v>1510</v>
      </c>
      <c r="B511" s="5">
        <v>45872</v>
      </c>
      <c r="C511" s="4" t="s">
        <v>11</v>
      </c>
      <c r="D511" s="4" t="s">
        <v>12</v>
      </c>
      <c r="E511" s="4" t="s">
        <v>13</v>
      </c>
      <c r="F511" s="4">
        <v>1</v>
      </c>
      <c r="G511" s="4">
        <v>1200</v>
      </c>
      <c r="H511" s="4">
        <v>1200</v>
      </c>
      <c r="I511" s="4">
        <v>844.05</v>
      </c>
      <c r="J511" s="4">
        <v>355.95</v>
      </c>
      <c r="K511" s="7" t="s">
        <v>21</v>
      </c>
    </row>
    <row r="512" spans="1:11" x14ac:dyDescent="0.25">
      <c r="A512" s="6">
        <v>1511</v>
      </c>
      <c r="B512" s="5">
        <v>45903</v>
      </c>
      <c r="C512" s="4" t="s">
        <v>19</v>
      </c>
      <c r="D512" s="4" t="s">
        <v>23</v>
      </c>
      <c r="E512" s="4" t="s">
        <v>24</v>
      </c>
      <c r="F512" s="4">
        <v>6</v>
      </c>
      <c r="G512" s="4">
        <v>2500</v>
      </c>
      <c r="H512" s="4">
        <v>15000</v>
      </c>
      <c r="I512" s="4">
        <v>10220.57</v>
      </c>
      <c r="J512" s="4">
        <v>4779.43</v>
      </c>
      <c r="K512" s="7" t="s">
        <v>14</v>
      </c>
    </row>
    <row r="513" spans="1:11" x14ac:dyDescent="0.25">
      <c r="A513" s="6">
        <v>1512</v>
      </c>
      <c r="B513" s="5">
        <v>45675</v>
      </c>
      <c r="C513" s="4" t="s">
        <v>32</v>
      </c>
      <c r="D513" s="4" t="s">
        <v>12</v>
      </c>
      <c r="E513" s="4" t="s">
        <v>13</v>
      </c>
      <c r="F513" s="4">
        <v>3</v>
      </c>
      <c r="G513" s="4">
        <v>1200</v>
      </c>
      <c r="H513" s="4">
        <v>3600</v>
      </c>
      <c r="I513" s="4">
        <v>2072.87</v>
      </c>
      <c r="J513" s="4">
        <v>1527.13</v>
      </c>
      <c r="K513" s="7" t="s">
        <v>18</v>
      </c>
    </row>
    <row r="514" spans="1:11" x14ac:dyDescent="0.25">
      <c r="A514" s="6">
        <v>1513</v>
      </c>
      <c r="B514" s="5">
        <v>45850</v>
      </c>
      <c r="C514" s="4" t="s">
        <v>11</v>
      </c>
      <c r="D514" s="4" t="s">
        <v>23</v>
      </c>
      <c r="E514" s="4" t="s">
        <v>24</v>
      </c>
      <c r="F514" s="4">
        <v>2</v>
      </c>
      <c r="G514" s="4">
        <v>150</v>
      </c>
      <c r="H514" s="4">
        <v>300</v>
      </c>
      <c r="I514" s="4">
        <v>200.89</v>
      </c>
      <c r="J514" s="4">
        <v>99.11</v>
      </c>
      <c r="K514" s="7" t="s">
        <v>14</v>
      </c>
    </row>
    <row r="515" spans="1:11" x14ac:dyDescent="0.25">
      <c r="A515" s="6">
        <v>1514</v>
      </c>
      <c r="B515" s="5">
        <v>45972</v>
      </c>
      <c r="C515" s="4" t="s">
        <v>30</v>
      </c>
      <c r="D515" s="4" t="s">
        <v>16</v>
      </c>
      <c r="E515" s="4" t="s">
        <v>17</v>
      </c>
      <c r="F515" s="4">
        <v>2</v>
      </c>
      <c r="G515" s="4">
        <v>500</v>
      </c>
      <c r="H515" s="4">
        <v>1000</v>
      </c>
      <c r="I515" s="4">
        <v>757.91</v>
      </c>
      <c r="J515" s="4">
        <v>242.09</v>
      </c>
      <c r="K515" s="7" t="s">
        <v>14</v>
      </c>
    </row>
    <row r="516" spans="1:11" x14ac:dyDescent="0.25">
      <c r="A516" s="6">
        <v>1515</v>
      </c>
      <c r="B516" s="5">
        <v>45738</v>
      </c>
      <c r="C516" s="4" t="s">
        <v>15</v>
      </c>
      <c r="D516" s="4" t="s">
        <v>16</v>
      </c>
      <c r="E516" s="4" t="s">
        <v>22</v>
      </c>
      <c r="F516" s="4">
        <v>3</v>
      </c>
      <c r="G516" s="4">
        <v>2500</v>
      </c>
      <c r="H516" s="4">
        <v>7500</v>
      </c>
      <c r="I516" s="4">
        <v>6460.6</v>
      </c>
      <c r="J516" s="4">
        <v>1039.4000000000001</v>
      </c>
      <c r="K516" s="7" t="s">
        <v>18</v>
      </c>
    </row>
    <row r="517" spans="1:11" x14ac:dyDescent="0.25">
      <c r="A517" s="6">
        <v>1516</v>
      </c>
      <c r="B517" s="5">
        <v>45934</v>
      </c>
      <c r="C517" s="4" t="s">
        <v>32</v>
      </c>
      <c r="D517" s="4" t="s">
        <v>23</v>
      </c>
      <c r="E517" s="4" t="s">
        <v>25</v>
      </c>
      <c r="F517" s="4">
        <v>4</v>
      </c>
      <c r="G517" s="4">
        <v>1200</v>
      </c>
      <c r="H517" s="4">
        <v>4800</v>
      </c>
      <c r="I517" s="4">
        <v>3811.29</v>
      </c>
      <c r="J517" s="4">
        <v>988.71</v>
      </c>
      <c r="K517" s="7" t="s">
        <v>14</v>
      </c>
    </row>
    <row r="518" spans="1:11" x14ac:dyDescent="0.25">
      <c r="A518" s="6">
        <v>1517</v>
      </c>
      <c r="B518" s="5">
        <v>45950</v>
      </c>
      <c r="C518" s="4" t="s">
        <v>19</v>
      </c>
      <c r="D518" s="4" t="s">
        <v>23</v>
      </c>
      <c r="E518" s="4" t="s">
        <v>24</v>
      </c>
      <c r="F518" s="4">
        <v>4</v>
      </c>
      <c r="G518" s="4">
        <v>150</v>
      </c>
      <c r="H518" s="4">
        <v>600</v>
      </c>
      <c r="I518" s="4">
        <v>340.42</v>
      </c>
      <c r="J518" s="4">
        <v>259.58</v>
      </c>
      <c r="K518" s="7" t="s">
        <v>21</v>
      </c>
    </row>
    <row r="519" spans="1:11" x14ac:dyDescent="0.25">
      <c r="A519" s="6">
        <v>1518</v>
      </c>
      <c r="B519" s="5">
        <v>45808</v>
      </c>
      <c r="C519" s="4" t="s">
        <v>19</v>
      </c>
      <c r="D519" s="4" t="s">
        <v>16</v>
      </c>
      <c r="E519" s="4" t="s">
        <v>20</v>
      </c>
      <c r="F519" s="4">
        <v>6</v>
      </c>
      <c r="G519" s="4">
        <v>150</v>
      </c>
      <c r="H519" s="4">
        <v>900</v>
      </c>
      <c r="I519" s="4">
        <v>629.70000000000005</v>
      </c>
      <c r="J519" s="4">
        <v>270.3</v>
      </c>
      <c r="K519" s="7" t="s">
        <v>21</v>
      </c>
    </row>
    <row r="520" spans="1:11" x14ac:dyDescent="0.25">
      <c r="A520" s="6">
        <v>1519</v>
      </c>
      <c r="B520" s="5">
        <v>45807</v>
      </c>
      <c r="C520" s="4" t="s">
        <v>15</v>
      </c>
      <c r="D520" s="4" t="s">
        <v>16</v>
      </c>
      <c r="E520" s="4" t="s">
        <v>20</v>
      </c>
      <c r="F520" s="4">
        <v>1</v>
      </c>
      <c r="G520" s="4">
        <v>250</v>
      </c>
      <c r="H520" s="4">
        <v>250</v>
      </c>
      <c r="I520" s="4">
        <v>152.44999999999999</v>
      </c>
      <c r="J520" s="4">
        <v>97.55</v>
      </c>
      <c r="K520" s="7" t="s">
        <v>21</v>
      </c>
    </row>
    <row r="521" spans="1:11" x14ac:dyDescent="0.25">
      <c r="A521" s="6">
        <v>1520</v>
      </c>
      <c r="B521" s="5">
        <v>45996</v>
      </c>
      <c r="C521" s="4" t="s">
        <v>32</v>
      </c>
      <c r="D521" s="4" t="s">
        <v>16</v>
      </c>
      <c r="E521" s="4" t="s">
        <v>22</v>
      </c>
      <c r="F521" s="4">
        <v>7</v>
      </c>
      <c r="G521" s="4">
        <v>1200</v>
      </c>
      <c r="H521" s="4">
        <v>8400</v>
      </c>
      <c r="I521" s="4">
        <v>6057.94</v>
      </c>
      <c r="J521" s="4">
        <v>2342.06</v>
      </c>
      <c r="K521" s="7" t="s">
        <v>18</v>
      </c>
    </row>
    <row r="522" spans="1:11" x14ac:dyDescent="0.25">
      <c r="A522" s="6">
        <v>1521</v>
      </c>
      <c r="B522" s="5">
        <v>45853</v>
      </c>
      <c r="C522" s="4" t="s">
        <v>32</v>
      </c>
      <c r="D522" s="4" t="s">
        <v>12</v>
      </c>
      <c r="E522" s="4" t="s">
        <v>31</v>
      </c>
      <c r="F522" s="4">
        <v>7</v>
      </c>
      <c r="G522" s="4">
        <v>250</v>
      </c>
      <c r="H522" s="4">
        <v>1750</v>
      </c>
      <c r="I522" s="4">
        <v>1189.75</v>
      </c>
      <c r="J522" s="4">
        <v>560.25</v>
      </c>
      <c r="K522" s="7" t="s">
        <v>28</v>
      </c>
    </row>
    <row r="523" spans="1:11" x14ac:dyDescent="0.25">
      <c r="A523" s="6">
        <v>1522</v>
      </c>
      <c r="B523" s="5">
        <v>45773</v>
      </c>
      <c r="C523" s="4" t="s">
        <v>32</v>
      </c>
      <c r="D523" s="4" t="s">
        <v>23</v>
      </c>
      <c r="E523" s="4" t="s">
        <v>25</v>
      </c>
      <c r="F523" s="4">
        <v>5</v>
      </c>
      <c r="G523" s="4">
        <v>1200</v>
      </c>
      <c r="H523" s="4">
        <v>6000</v>
      </c>
      <c r="I523" s="4">
        <v>4276.62</v>
      </c>
      <c r="J523" s="4">
        <v>1723.38</v>
      </c>
      <c r="K523" s="7" t="s">
        <v>29</v>
      </c>
    </row>
    <row r="524" spans="1:11" x14ac:dyDescent="0.25">
      <c r="A524" s="6">
        <v>1523</v>
      </c>
      <c r="B524" s="5">
        <v>45935</v>
      </c>
      <c r="C524" s="4" t="s">
        <v>30</v>
      </c>
      <c r="D524" s="4" t="s">
        <v>16</v>
      </c>
      <c r="E524" s="4" t="s">
        <v>20</v>
      </c>
      <c r="F524" s="4">
        <v>2</v>
      </c>
      <c r="G524" s="4">
        <v>150</v>
      </c>
      <c r="H524" s="4">
        <v>300</v>
      </c>
      <c r="I524" s="4">
        <v>235.15</v>
      </c>
      <c r="J524" s="4">
        <v>64.849999999999994</v>
      </c>
      <c r="K524" s="7" t="s">
        <v>29</v>
      </c>
    </row>
    <row r="525" spans="1:11" x14ac:dyDescent="0.25">
      <c r="A525" s="6">
        <v>1524</v>
      </c>
      <c r="B525" s="5">
        <v>45925</v>
      </c>
      <c r="C525" s="4" t="s">
        <v>30</v>
      </c>
      <c r="D525" s="4" t="s">
        <v>16</v>
      </c>
      <c r="E525" s="4" t="s">
        <v>17</v>
      </c>
      <c r="F525" s="4">
        <v>1</v>
      </c>
      <c r="G525" s="4">
        <v>12000</v>
      </c>
      <c r="H525" s="4">
        <v>12000</v>
      </c>
      <c r="I525" s="4">
        <v>8225.85</v>
      </c>
      <c r="J525" s="4">
        <v>3774.15</v>
      </c>
      <c r="K525" s="7" t="s">
        <v>29</v>
      </c>
    </row>
    <row r="526" spans="1:11" x14ac:dyDescent="0.25">
      <c r="A526" s="6">
        <v>1525</v>
      </c>
      <c r="B526" s="5">
        <v>45698</v>
      </c>
      <c r="C526" s="4" t="s">
        <v>30</v>
      </c>
      <c r="D526" s="4" t="s">
        <v>12</v>
      </c>
      <c r="E526" s="4" t="s">
        <v>33</v>
      </c>
      <c r="F526" s="4">
        <v>10</v>
      </c>
      <c r="G526" s="4">
        <v>250</v>
      </c>
      <c r="H526" s="4">
        <v>2500</v>
      </c>
      <c r="I526" s="4">
        <v>1791.73</v>
      </c>
      <c r="J526" s="4">
        <v>708.27</v>
      </c>
      <c r="K526" s="7" t="s">
        <v>14</v>
      </c>
    </row>
    <row r="527" spans="1:11" x14ac:dyDescent="0.25">
      <c r="A527" s="6">
        <v>1526</v>
      </c>
      <c r="B527" s="5">
        <v>46004</v>
      </c>
      <c r="C527" s="4" t="s">
        <v>19</v>
      </c>
      <c r="D527" s="4" t="s">
        <v>16</v>
      </c>
      <c r="E527" s="4" t="s">
        <v>17</v>
      </c>
      <c r="F527" s="4">
        <v>10</v>
      </c>
      <c r="G527" s="4">
        <v>2500</v>
      </c>
      <c r="H527" s="4">
        <v>25000</v>
      </c>
      <c r="I527" s="4">
        <v>20753.939999999999</v>
      </c>
      <c r="J527" s="4">
        <v>4246.0600000000004</v>
      </c>
      <c r="K527" s="7" t="s">
        <v>28</v>
      </c>
    </row>
    <row r="528" spans="1:11" x14ac:dyDescent="0.25">
      <c r="A528" s="6">
        <v>1527</v>
      </c>
      <c r="B528" s="5">
        <v>45756</v>
      </c>
      <c r="C528" s="4" t="s">
        <v>11</v>
      </c>
      <c r="D528" s="4" t="s">
        <v>16</v>
      </c>
      <c r="E528" s="4" t="s">
        <v>22</v>
      </c>
      <c r="F528" s="4">
        <v>3</v>
      </c>
      <c r="G528" s="4">
        <v>250</v>
      </c>
      <c r="H528" s="4">
        <v>750</v>
      </c>
      <c r="I528" s="4">
        <v>667.69</v>
      </c>
      <c r="J528" s="4">
        <v>82.31</v>
      </c>
      <c r="K528" s="7" t="s">
        <v>18</v>
      </c>
    </row>
    <row r="529" spans="1:11" x14ac:dyDescent="0.25">
      <c r="A529" s="6">
        <v>1528</v>
      </c>
      <c r="B529" s="5">
        <v>45979</v>
      </c>
      <c r="C529" s="4" t="s">
        <v>11</v>
      </c>
      <c r="D529" s="4" t="s">
        <v>23</v>
      </c>
      <c r="E529" s="4" t="s">
        <v>25</v>
      </c>
      <c r="F529" s="4">
        <v>7</v>
      </c>
      <c r="G529" s="4">
        <v>250</v>
      </c>
      <c r="H529" s="4">
        <v>1750</v>
      </c>
      <c r="I529" s="4">
        <v>1573.33</v>
      </c>
      <c r="J529" s="4">
        <v>176.67</v>
      </c>
      <c r="K529" s="7" t="s">
        <v>29</v>
      </c>
    </row>
    <row r="530" spans="1:11" x14ac:dyDescent="0.25">
      <c r="A530" s="6">
        <v>1529</v>
      </c>
      <c r="B530" s="5">
        <v>45861</v>
      </c>
      <c r="C530" s="4" t="s">
        <v>19</v>
      </c>
      <c r="D530" s="4" t="s">
        <v>23</v>
      </c>
      <c r="E530" s="4" t="s">
        <v>24</v>
      </c>
      <c r="F530" s="4">
        <v>2</v>
      </c>
      <c r="G530" s="4">
        <v>150</v>
      </c>
      <c r="H530" s="4">
        <v>300</v>
      </c>
      <c r="I530" s="4">
        <v>205.75</v>
      </c>
      <c r="J530" s="4">
        <v>94.25</v>
      </c>
      <c r="K530" s="7" t="s">
        <v>27</v>
      </c>
    </row>
    <row r="531" spans="1:11" x14ac:dyDescent="0.25">
      <c r="A531" s="6">
        <v>1530</v>
      </c>
      <c r="B531" s="5">
        <v>46016</v>
      </c>
      <c r="C531" s="4" t="s">
        <v>19</v>
      </c>
      <c r="D531" s="4" t="s">
        <v>23</v>
      </c>
      <c r="E531" s="4" t="s">
        <v>26</v>
      </c>
      <c r="F531" s="4">
        <v>8</v>
      </c>
      <c r="G531" s="4">
        <v>12000</v>
      </c>
      <c r="H531" s="4">
        <v>96000</v>
      </c>
      <c r="I531" s="4">
        <v>53215.42</v>
      </c>
      <c r="J531" s="4">
        <v>42784.58</v>
      </c>
      <c r="K531" s="7" t="s">
        <v>29</v>
      </c>
    </row>
    <row r="532" spans="1:11" x14ac:dyDescent="0.25">
      <c r="A532" s="6">
        <v>1531</v>
      </c>
      <c r="B532" s="5">
        <v>45948</v>
      </c>
      <c r="C532" s="4" t="s">
        <v>19</v>
      </c>
      <c r="D532" s="4" t="s">
        <v>12</v>
      </c>
      <c r="E532" s="4" t="s">
        <v>33</v>
      </c>
      <c r="F532" s="4">
        <v>2</v>
      </c>
      <c r="G532" s="4">
        <v>1200</v>
      </c>
      <c r="H532" s="4">
        <v>2400</v>
      </c>
      <c r="I532" s="4">
        <v>1445.7</v>
      </c>
      <c r="J532" s="4">
        <v>954.3</v>
      </c>
      <c r="K532" s="7" t="s">
        <v>29</v>
      </c>
    </row>
    <row r="533" spans="1:11" x14ac:dyDescent="0.25">
      <c r="A533" s="6">
        <v>1532</v>
      </c>
      <c r="B533" s="5">
        <v>45804</v>
      </c>
      <c r="C533" s="4" t="s">
        <v>19</v>
      </c>
      <c r="D533" s="4" t="s">
        <v>16</v>
      </c>
      <c r="E533" s="4" t="s">
        <v>20</v>
      </c>
      <c r="F533" s="4">
        <v>10</v>
      </c>
      <c r="G533" s="4">
        <v>12000</v>
      </c>
      <c r="H533" s="4">
        <v>120000</v>
      </c>
      <c r="I533" s="4">
        <v>70241.600000000006</v>
      </c>
      <c r="J533" s="4">
        <v>49758.400000000001</v>
      </c>
      <c r="K533" s="7" t="s">
        <v>27</v>
      </c>
    </row>
    <row r="534" spans="1:11" x14ac:dyDescent="0.25">
      <c r="A534" s="6">
        <v>1533</v>
      </c>
      <c r="B534" s="5">
        <v>45969</v>
      </c>
      <c r="C534" s="4" t="s">
        <v>30</v>
      </c>
      <c r="D534" s="4" t="s">
        <v>23</v>
      </c>
      <c r="E534" s="4" t="s">
        <v>24</v>
      </c>
      <c r="F534" s="4">
        <v>7</v>
      </c>
      <c r="G534" s="4">
        <v>5000</v>
      </c>
      <c r="H534" s="4">
        <v>35000</v>
      </c>
      <c r="I534" s="4">
        <v>25198.41</v>
      </c>
      <c r="J534" s="4">
        <v>9801.59</v>
      </c>
      <c r="K534" s="7" t="s">
        <v>18</v>
      </c>
    </row>
    <row r="535" spans="1:11" x14ac:dyDescent="0.25">
      <c r="A535" s="6">
        <v>1534</v>
      </c>
      <c r="B535" s="5">
        <v>46006</v>
      </c>
      <c r="C535" s="4" t="s">
        <v>30</v>
      </c>
      <c r="D535" s="4" t="s">
        <v>16</v>
      </c>
      <c r="E535" s="4" t="s">
        <v>22</v>
      </c>
      <c r="F535" s="4">
        <v>7</v>
      </c>
      <c r="G535" s="4">
        <v>250</v>
      </c>
      <c r="H535" s="4">
        <v>1750</v>
      </c>
      <c r="I535" s="4">
        <v>1341.17</v>
      </c>
      <c r="J535" s="4">
        <v>408.83</v>
      </c>
      <c r="K535" s="7" t="s">
        <v>18</v>
      </c>
    </row>
    <row r="536" spans="1:11" x14ac:dyDescent="0.25">
      <c r="A536" s="6">
        <v>1535</v>
      </c>
      <c r="B536" s="5">
        <v>45795</v>
      </c>
      <c r="C536" s="4" t="s">
        <v>32</v>
      </c>
      <c r="D536" s="4" t="s">
        <v>23</v>
      </c>
      <c r="E536" s="4" t="s">
        <v>24</v>
      </c>
      <c r="F536" s="4">
        <v>4</v>
      </c>
      <c r="G536" s="4">
        <v>150</v>
      </c>
      <c r="H536" s="4">
        <v>600</v>
      </c>
      <c r="I536" s="4">
        <v>486.61</v>
      </c>
      <c r="J536" s="4">
        <v>113.39</v>
      </c>
      <c r="K536" s="7" t="s">
        <v>18</v>
      </c>
    </row>
    <row r="537" spans="1:11" x14ac:dyDescent="0.25">
      <c r="A537" s="6">
        <v>1536</v>
      </c>
      <c r="B537" s="5">
        <v>46014</v>
      </c>
      <c r="C537" s="4" t="s">
        <v>15</v>
      </c>
      <c r="D537" s="4" t="s">
        <v>23</v>
      </c>
      <c r="E537" s="4" t="s">
        <v>24</v>
      </c>
      <c r="F537" s="4">
        <v>5</v>
      </c>
      <c r="G537" s="4">
        <v>500</v>
      </c>
      <c r="H537" s="4">
        <v>2500</v>
      </c>
      <c r="I537" s="4">
        <v>2112.4899999999998</v>
      </c>
      <c r="J537" s="4">
        <v>387.51</v>
      </c>
      <c r="K537" s="7" t="s">
        <v>28</v>
      </c>
    </row>
    <row r="538" spans="1:11" x14ac:dyDescent="0.25">
      <c r="A538" s="6">
        <v>1537</v>
      </c>
      <c r="B538" s="5">
        <v>45795</v>
      </c>
      <c r="C538" s="4" t="s">
        <v>30</v>
      </c>
      <c r="D538" s="4" t="s">
        <v>16</v>
      </c>
      <c r="E538" s="4" t="s">
        <v>22</v>
      </c>
      <c r="F538" s="4">
        <v>8</v>
      </c>
      <c r="G538" s="4">
        <v>12000</v>
      </c>
      <c r="H538" s="4">
        <v>96000</v>
      </c>
      <c r="I538" s="4">
        <v>80547.66</v>
      </c>
      <c r="J538" s="4">
        <v>15452.34</v>
      </c>
      <c r="K538" s="7" t="s">
        <v>29</v>
      </c>
    </row>
    <row r="539" spans="1:11" x14ac:dyDescent="0.25">
      <c r="A539" s="6">
        <v>1538</v>
      </c>
      <c r="B539" s="5">
        <v>45866</v>
      </c>
      <c r="C539" s="4" t="s">
        <v>30</v>
      </c>
      <c r="D539" s="4" t="s">
        <v>12</v>
      </c>
      <c r="E539" s="4" t="s">
        <v>13</v>
      </c>
      <c r="F539" s="4">
        <v>4</v>
      </c>
      <c r="G539" s="4">
        <v>1200</v>
      </c>
      <c r="H539" s="4">
        <v>4800</v>
      </c>
      <c r="I539" s="4">
        <v>2995.14</v>
      </c>
      <c r="J539" s="4">
        <v>1804.86</v>
      </c>
      <c r="K539" s="7" t="s">
        <v>29</v>
      </c>
    </row>
    <row r="540" spans="1:11" x14ac:dyDescent="0.25">
      <c r="A540" s="6">
        <v>1539</v>
      </c>
      <c r="B540" s="5">
        <v>45817</v>
      </c>
      <c r="C540" s="4" t="s">
        <v>19</v>
      </c>
      <c r="D540" s="4" t="s">
        <v>23</v>
      </c>
      <c r="E540" s="4" t="s">
        <v>25</v>
      </c>
      <c r="F540" s="4">
        <v>9</v>
      </c>
      <c r="G540" s="4">
        <v>12000</v>
      </c>
      <c r="H540" s="4">
        <v>108000</v>
      </c>
      <c r="I540" s="4">
        <v>65409.16</v>
      </c>
      <c r="J540" s="4">
        <v>42590.84</v>
      </c>
      <c r="K540" s="7" t="s">
        <v>21</v>
      </c>
    </row>
    <row r="541" spans="1:11" x14ac:dyDescent="0.25">
      <c r="A541" s="6">
        <v>1540</v>
      </c>
      <c r="B541" s="5">
        <v>45760</v>
      </c>
      <c r="C541" s="4" t="s">
        <v>15</v>
      </c>
      <c r="D541" s="4" t="s">
        <v>16</v>
      </c>
      <c r="E541" s="4" t="s">
        <v>17</v>
      </c>
      <c r="F541" s="4">
        <v>10</v>
      </c>
      <c r="G541" s="4">
        <v>150</v>
      </c>
      <c r="H541" s="4">
        <v>1500</v>
      </c>
      <c r="I541" s="4">
        <v>916.21</v>
      </c>
      <c r="J541" s="4">
        <v>583.79</v>
      </c>
      <c r="K541" s="7" t="s">
        <v>28</v>
      </c>
    </row>
    <row r="542" spans="1:11" x14ac:dyDescent="0.25">
      <c r="A542" s="6">
        <v>1541</v>
      </c>
      <c r="B542" s="5">
        <v>45798</v>
      </c>
      <c r="C542" s="4" t="s">
        <v>32</v>
      </c>
      <c r="D542" s="4" t="s">
        <v>16</v>
      </c>
      <c r="E542" s="4" t="s">
        <v>22</v>
      </c>
      <c r="F542" s="4">
        <v>1</v>
      </c>
      <c r="G542" s="4">
        <v>500</v>
      </c>
      <c r="H542" s="4">
        <v>500</v>
      </c>
      <c r="I542" s="4">
        <v>398.31</v>
      </c>
      <c r="J542" s="4">
        <v>101.69</v>
      </c>
      <c r="K542" s="7" t="s">
        <v>21</v>
      </c>
    </row>
    <row r="543" spans="1:11" x14ac:dyDescent="0.25">
      <c r="A543" s="6">
        <v>1542</v>
      </c>
      <c r="B543" s="5">
        <v>45848</v>
      </c>
      <c r="C543" s="4" t="s">
        <v>30</v>
      </c>
      <c r="D543" s="4" t="s">
        <v>12</v>
      </c>
      <c r="E543" s="4" t="s">
        <v>33</v>
      </c>
      <c r="F543" s="4">
        <v>2</v>
      </c>
      <c r="G543" s="4">
        <v>5000</v>
      </c>
      <c r="H543" s="4">
        <v>10000</v>
      </c>
      <c r="I543" s="4">
        <v>5606.97</v>
      </c>
      <c r="J543" s="4">
        <v>4393.03</v>
      </c>
      <c r="K543" s="7" t="s">
        <v>29</v>
      </c>
    </row>
    <row r="544" spans="1:11" x14ac:dyDescent="0.25">
      <c r="A544" s="6">
        <v>1543</v>
      </c>
      <c r="B544" s="5">
        <v>45834</v>
      </c>
      <c r="C544" s="4" t="s">
        <v>11</v>
      </c>
      <c r="D544" s="4" t="s">
        <v>23</v>
      </c>
      <c r="E544" s="4" t="s">
        <v>25</v>
      </c>
      <c r="F544" s="4">
        <v>8</v>
      </c>
      <c r="G544" s="4">
        <v>2500</v>
      </c>
      <c r="H544" s="4">
        <v>20000</v>
      </c>
      <c r="I544" s="4">
        <v>14859.34</v>
      </c>
      <c r="J544" s="4">
        <v>5140.66</v>
      </c>
      <c r="K544" s="7" t="s">
        <v>27</v>
      </c>
    </row>
    <row r="545" spans="1:11" x14ac:dyDescent="0.25">
      <c r="A545" s="6">
        <v>1544</v>
      </c>
      <c r="B545" s="5">
        <v>45683</v>
      </c>
      <c r="C545" s="4" t="s">
        <v>11</v>
      </c>
      <c r="D545" s="4" t="s">
        <v>12</v>
      </c>
      <c r="E545" s="4" t="s">
        <v>31</v>
      </c>
      <c r="F545" s="4">
        <v>2</v>
      </c>
      <c r="G545" s="4">
        <v>500</v>
      </c>
      <c r="H545" s="4">
        <v>1000</v>
      </c>
      <c r="I545" s="4">
        <v>559.61</v>
      </c>
      <c r="J545" s="4">
        <v>440.39</v>
      </c>
      <c r="K545" s="7" t="s">
        <v>29</v>
      </c>
    </row>
    <row r="546" spans="1:11" x14ac:dyDescent="0.25">
      <c r="A546" s="6">
        <v>1545</v>
      </c>
      <c r="B546" s="5">
        <v>45991</v>
      </c>
      <c r="C546" s="4" t="s">
        <v>30</v>
      </c>
      <c r="D546" s="4" t="s">
        <v>16</v>
      </c>
      <c r="E546" s="4" t="s">
        <v>20</v>
      </c>
      <c r="F546" s="4">
        <v>4</v>
      </c>
      <c r="G546" s="4">
        <v>5000</v>
      </c>
      <c r="H546" s="4">
        <v>20000</v>
      </c>
      <c r="I546" s="4">
        <v>12447.12</v>
      </c>
      <c r="J546" s="4">
        <v>7552.88</v>
      </c>
      <c r="K546" s="7" t="s">
        <v>29</v>
      </c>
    </row>
    <row r="547" spans="1:11" x14ac:dyDescent="0.25">
      <c r="A547" s="6">
        <v>1546</v>
      </c>
      <c r="B547" s="5">
        <v>45989</v>
      </c>
      <c r="C547" s="4" t="s">
        <v>11</v>
      </c>
      <c r="D547" s="4" t="s">
        <v>16</v>
      </c>
      <c r="E547" s="4" t="s">
        <v>17</v>
      </c>
      <c r="F547" s="4">
        <v>1</v>
      </c>
      <c r="G547" s="4">
        <v>1200</v>
      </c>
      <c r="H547" s="4">
        <v>1200</v>
      </c>
      <c r="I547" s="4">
        <v>1042.8399999999999</v>
      </c>
      <c r="J547" s="4">
        <v>157.16</v>
      </c>
      <c r="K547" s="7" t="s">
        <v>29</v>
      </c>
    </row>
    <row r="548" spans="1:11" x14ac:dyDescent="0.25">
      <c r="A548" s="6">
        <v>1547</v>
      </c>
      <c r="B548" s="5">
        <v>45814</v>
      </c>
      <c r="C548" s="4" t="s">
        <v>32</v>
      </c>
      <c r="D548" s="4" t="s">
        <v>16</v>
      </c>
      <c r="E548" s="4" t="s">
        <v>20</v>
      </c>
      <c r="F548" s="4">
        <v>5</v>
      </c>
      <c r="G548" s="4">
        <v>2500</v>
      </c>
      <c r="H548" s="4">
        <v>12500</v>
      </c>
      <c r="I548" s="4">
        <v>10397.25</v>
      </c>
      <c r="J548" s="4">
        <v>2102.75</v>
      </c>
      <c r="K548" s="7" t="s">
        <v>21</v>
      </c>
    </row>
    <row r="549" spans="1:11" x14ac:dyDescent="0.25">
      <c r="A549" s="6">
        <v>1548</v>
      </c>
      <c r="B549" s="5">
        <v>45812</v>
      </c>
      <c r="C549" s="4" t="s">
        <v>19</v>
      </c>
      <c r="D549" s="4" t="s">
        <v>23</v>
      </c>
      <c r="E549" s="4" t="s">
        <v>24</v>
      </c>
      <c r="F549" s="4">
        <v>8</v>
      </c>
      <c r="G549" s="4">
        <v>500</v>
      </c>
      <c r="H549" s="4">
        <v>4000</v>
      </c>
      <c r="I549" s="4">
        <v>2505.4899999999998</v>
      </c>
      <c r="J549" s="4">
        <v>1494.51</v>
      </c>
      <c r="K549" s="7" t="s">
        <v>29</v>
      </c>
    </row>
    <row r="550" spans="1:11" x14ac:dyDescent="0.25">
      <c r="A550" s="6">
        <v>1549</v>
      </c>
      <c r="B550" s="5">
        <v>45997</v>
      </c>
      <c r="C550" s="4" t="s">
        <v>32</v>
      </c>
      <c r="D550" s="4" t="s">
        <v>23</v>
      </c>
      <c r="E550" s="4" t="s">
        <v>26</v>
      </c>
      <c r="F550" s="4">
        <v>2</v>
      </c>
      <c r="G550" s="4">
        <v>150</v>
      </c>
      <c r="H550" s="4">
        <v>300</v>
      </c>
      <c r="I550" s="4">
        <v>218.71</v>
      </c>
      <c r="J550" s="4">
        <v>81.290000000000006</v>
      </c>
      <c r="K550" s="7" t="s">
        <v>29</v>
      </c>
    </row>
    <row r="551" spans="1:11" x14ac:dyDescent="0.25">
      <c r="A551" s="6">
        <v>1550</v>
      </c>
      <c r="B551" s="5">
        <v>45713</v>
      </c>
      <c r="C551" s="4" t="s">
        <v>30</v>
      </c>
      <c r="D551" s="4" t="s">
        <v>12</v>
      </c>
      <c r="E551" s="4" t="s">
        <v>31</v>
      </c>
      <c r="F551" s="4">
        <v>10</v>
      </c>
      <c r="G551" s="4">
        <v>500</v>
      </c>
      <c r="H551" s="4">
        <v>5000</v>
      </c>
      <c r="I551" s="4">
        <v>3272.33</v>
      </c>
      <c r="J551" s="4">
        <v>1727.67</v>
      </c>
      <c r="K551" s="7" t="s">
        <v>18</v>
      </c>
    </row>
    <row r="552" spans="1:11" x14ac:dyDescent="0.25">
      <c r="A552" s="6">
        <v>1551</v>
      </c>
      <c r="B552" s="5">
        <v>45993</v>
      </c>
      <c r="C552" s="4" t="s">
        <v>32</v>
      </c>
      <c r="D552" s="4" t="s">
        <v>23</v>
      </c>
      <c r="E552" s="4" t="s">
        <v>24</v>
      </c>
      <c r="F552" s="4">
        <v>6</v>
      </c>
      <c r="G552" s="4">
        <v>12000</v>
      </c>
      <c r="H552" s="4">
        <v>72000</v>
      </c>
      <c r="I552" s="4">
        <v>46577.5</v>
      </c>
      <c r="J552" s="4">
        <v>25422.5</v>
      </c>
      <c r="K552" s="7" t="s">
        <v>28</v>
      </c>
    </row>
    <row r="553" spans="1:11" x14ac:dyDescent="0.25">
      <c r="A553" s="6">
        <v>1552</v>
      </c>
      <c r="B553" s="5">
        <v>45965</v>
      </c>
      <c r="C553" s="4" t="s">
        <v>30</v>
      </c>
      <c r="D553" s="4" t="s">
        <v>16</v>
      </c>
      <c r="E553" s="4" t="s">
        <v>17</v>
      </c>
      <c r="F553" s="4">
        <v>4</v>
      </c>
      <c r="G553" s="4">
        <v>150</v>
      </c>
      <c r="H553" s="4">
        <v>600</v>
      </c>
      <c r="I553" s="4">
        <v>499.14</v>
      </c>
      <c r="J553" s="4">
        <v>100.86</v>
      </c>
      <c r="K553" s="7" t="s">
        <v>14</v>
      </c>
    </row>
    <row r="554" spans="1:11" x14ac:dyDescent="0.25">
      <c r="A554" s="6">
        <v>1553</v>
      </c>
      <c r="B554" s="5">
        <v>45912</v>
      </c>
      <c r="C554" s="4" t="s">
        <v>32</v>
      </c>
      <c r="D554" s="4" t="s">
        <v>23</v>
      </c>
      <c r="E554" s="4" t="s">
        <v>26</v>
      </c>
      <c r="F554" s="4">
        <v>3</v>
      </c>
      <c r="G554" s="4">
        <v>5000</v>
      </c>
      <c r="H554" s="4">
        <v>15000</v>
      </c>
      <c r="I554" s="4">
        <v>8383.64</v>
      </c>
      <c r="J554" s="4">
        <v>6616.36</v>
      </c>
      <c r="K554" s="7" t="s">
        <v>27</v>
      </c>
    </row>
    <row r="555" spans="1:11" x14ac:dyDescent="0.25">
      <c r="A555" s="6">
        <v>1554</v>
      </c>
      <c r="B555" s="5">
        <v>46020</v>
      </c>
      <c r="C555" s="4" t="s">
        <v>19</v>
      </c>
      <c r="D555" s="4" t="s">
        <v>23</v>
      </c>
      <c r="E555" s="4" t="s">
        <v>24</v>
      </c>
      <c r="F555" s="4">
        <v>7</v>
      </c>
      <c r="G555" s="4">
        <v>5000</v>
      </c>
      <c r="H555" s="4">
        <v>35000</v>
      </c>
      <c r="I555" s="4">
        <v>19682.66</v>
      </c>
      <c r="J555" s="4">
        <v>15317.34</v>
      </c>
      <c r="K555" s="7" t="s">
        <v>28</v>
      </c>
    </row>
    <row r="556" spans="1:11" x14ac:dyDescent="0.25">
      <c r="A556" s="6">
        <v>1555</v>
      </c>
      <c r="B556" s="5">
        <v>45901</v>
      </c>
      <c r="C556" s="4" t="s">
        <v>32</v>
      </c>
      <c r="D556" s="4" t="s">
        <v>23</v>
      </c>
      <c r="E556" s="4" t="s">
        <v>26</v>
      </c>
      <c r="F556" s="4">
        <v>4</v>
      </c>
      <c r="G556" s="4">
        <v>5000</v>
      </c>
      <c r="H556" s="4">
        <v>20000</v>
      </c>
      <c r="I556" s="4">
        <v>14742.45</v>
      </c>
      <c r="J556" s="4">
        <v>5257.55</v>
      </c>
      <c r="K556" s="7" t="s">
        <v>29</v>
      </c>
    </row>
    <row r="557" spans="1:11" x14ac:dyDescent="0.25">
      <c r="A557" s="6">
        <v>1556</v>
      </c>
      <c r="B557" s="5">
        <v>45899</v>
      </c>
      <c r="C557" s="4" t="s">
        <v>11</v>
      </c>
      <c r="D557" s="4" t="s">
        <v>23</v>
      </c>
      <c r="E557" s="4" t="s">
        <v>25</v>
      </c>
      <c r="F557" s="4">
        <v>9</v>
      </c>
      <c r="G557" s="4">
        <v>250</v>
      </c>
      <c r="H557" s="4">
        <v>2250</v>
      </c>
      <c r="I557" s="4">
        <v>1468.85</v>
      </c>
      <c r="J557" s="4">
        <v>781.15</v>
      </c>
      <c r="K557" s="7" t="s">
        <v>14</v>
      </c>
    </row>
    <row r="558" spans="1:11" x14ac:dyDescent="0.25">
      <c r="A558" s="6">
        <v>1557</v>
      </c>
      <c r="B558" s="5">
        <v>46006</v>
      </c>
      <c r="C558" s="4" t="s">
        <v>32</v>
      </c>
      <c r="D558" s="4" t="s">
        <v>23</v>
      </c>
      <c r="E558" s="4" t="s">
        <v>26</v>
      </c>
      <c r="F558" s="4">
        <v>9</v>
      </c>
      <c r="G558" s="4">
        <v>12000</v>
      </c>
      <c r="H558" s="4">
        <v>108000</v>
      </c>
      <c r="I558" s="4">
        <v>93897.22</v>
      </c>
      <c r="J558" s="4">
        <v>14102.78</v>
      </c>
      <c r="K558" s="7" t="s">
        <v>14</v>
      </c>
    </row>
    <row r="559" spans="1:11" x14ac:dyDescent="0.25">
      <c r="A559" s="6">
        <v>1558</v>
      </c>
      <c r="B559" s="5">
        <v>45815</v>
      </c>
      <c r="C559" s="4" t="s">
        <v>30</v>
      </c>
      <c r="D559" s="4" t="s">
        <v>16</v>
      </c>
      <c r="E559" s="4" t="s">
        <v>20</v>
      </c>
      <c r="F559" s="4">
        <v>6</v>
      </c>
      <c r="G559" s="4">
        <v>250</v>
      </c>
      <c r="H559" s="4">
        <v>1500</v>
      </c>
      <c r="I559" s="4">
        <v>1215.71</v>
      </c>
      <c r="J559" s="4">
        <v>284.29000000000002</v>
      </c>
      <c r="K559" s="7" t="s">
        <v>27</v>
      </c>
    </row>
    <row r="560" spans="1:11" x14ac:dyDescent="0.25">
      <c r="A560" s="6">
        <v>1559</v>
      </c>
      <c r="B560" s="5">
        <v>45718</v>
      </c>
      <c r="C560" s="4" t="s">
        <v>30</v>
      </c>
      <c r="D560" s="4" t="s">
        <v>23</v>
      </c>
      <c r="E560" s="4" t="s">
        <v>24</v>
      </c>
      <c r="F560" s="4">
        <v>10</v>
      </c>
      <c r="G560" s="4">
        <v>500</v>
      </c>
      <c r="H560" s="4">
        <v>5000</v>
      </c>
      <c r="I560" s="4">
        <v>3561.58</v>
      </c>
      <c r="J560" s="4">
        <v>1438.42</v>
      </c>
      <c r="K560" s="7" t="s">
        <v>18</v>
      </c>
    </row>
    <row r="561" spans="1:11" x14ac:dyDescent="0.25">
      <c r="A561" s="6">
        <v>1560</v>
      </c>
      <c r="B561" s="5">
        <v>45757</v>
      </c>
      <c r="C561" s="4" t="s">
        <v>19</v>
      </c>
      <c r="D561" s="4" t="s">
        <v>12</v>
      </c>
      <c r="E561" s="4" t="s">
        <v>31</v>
      </c>
      <c r="F561" s="4">
        <v>10</v>
      </c>
      <c r="G561" s="4">
        <v>2500</v>
      </c>
      <c r="H561" s="4">
        <v>25000</v>
      </c>
      <c r="I561" s="4">
        <v>14373.14</v>
      </c>
      <c r="J561" s="4">
        <v>10626.86</v>
      </c>
      <c r="K561" s="7" t="s">
        <v>18</v>
      </c>
    </row>
    <row r="562" spans="1:11" x14ac:dyDescent="0.25">
      <c r="A562" s="6">
        <v>1561</v>
      </c>
      <c r="B562" s="5">
        <v>45735</v>
      </c>
      <c r="C562" s="4" t="s">
        <v>11</v>
      </c>
      <c r="D562" s="4" t="s">
        <v>12</v>
      </c>
      <c r="E562" s="4" t="s">
        <v>33</v>
      </c>
      <c r="F562" s="4">
        <v>9</v>
      </c>
      <c r="G562" s="4">
        <v>500</v>
      </c>
      <c r="H562" s="4">
        <v>4500</v>
      </c>
      <c r="I562" s="4">
        <v>3125.64</v>
      </c>
      <c r="J562" s="4">
        <v>1374.36</v>
      </c>
      <c r="K562" s="7" t="s">
        <v>28</v>
      </c>
    </row>
    <row r="563" spans="1:11" x14ac:dyDescent="0.25">
      <c r="A563" s="6">
        <v>1562</v>
      </c>
      <c r="B563" s="5">
        <v>45750</v>
      </c>
      <c r="C563" s="4" t="s">
        <v>15</v>
      </c>
      <c r="D563" s="4" t="s">
        <v>23</v>
      </c>
      <c r="E563" s="4" t="s">
        <v>24</v>
      </c>
      <c r="F563" s="4">
        <v>10</v>
      </c>
      <c r="G563" s="4">
        <v>1200</v>
      </c>
      <c r="H563" s="4">
        <v>12000</v>
      </c>
      <c r="I563" s="4">
        <v>7201.54</v>
      </c>
      <c r="J563" s="4">
        <v>4798.46</v>
      </c>
      <c r="K563" s="7" t="s">
        <v>21</v>
      </c>
    </row>
    <row r="564" spans="1:11" x14ac:dyDescent="0.25">
      <c r="A564" s="6">
        <v>1563</v>
      </c>
      <c r="B564" s="5">
        <v>45660</v>
      </c>
      <c r="C564" s="4" t="s">
        <v>30</v>
      </c>
      <c r="D564" s="4" t="s">
        <v>23</v>
      </c>
      <c r="E564" s="4" t="s">
        <v>26</v>
      </c>
      <c r="F564" s="4">
        <v>3</v>
      </c>
      <c r="G564" s="4">
        <v>500</v>
      </c>
      <c r="H564" s="4">
        <v>1500</v>
      </c>
      <c r="I564" s="4">
        <v>1158.1099999999999</v>
      </c>
      <c r="J564" s="4">
        <v>341.89</v>
      </c>
      <c r="K564" s="7" t="s">
        <v>27</v>
      </c>
    </row>
    <row r="565" spans="1:11" x14ac:dyDescent="0.25">
      <c r="A565" s="6">
        <v>1564</v>
      </c>
      <c r="B565" s="5">
        <v>45703</v>
      </c>
      <c r="C565" s="4" t="s">
        <v>11</v>
      </c>
      <c r="D565" s="4" t="s">
        <v>16</v>
      </c>
      <c r="E565" s="4" t="s">
        <v>20</v>
      </c>
      <c r="F565" s="4">
        <v>10</v>
      </c>
      <c r="G565" s="4">
        <v>12000</v>
      </c>
      <c r="H565" s="4">
        <v>120000</v>
      </c>
      <c r="I565" s="4">
        <v>72654.27</v>
      </c>
      <c r="J565" s="4">
        <v>47345.73</v>
      </c>
      <c r="K565" s="7" t="s">
        <v>29</v>
      </c>
    </row>
    <row r="566" spans="1:11" x14ac:dyDescent="0.25">
      <c r="A566" s="6">
        <v>1565</v>
      </c>
      <c r="B566" s="5">
        <v>45902</v>
      </c>
      <c r="C566" s="4" t="s">
        <v>30</v>
      </c>
      <c r="D566" s="4" t="s">
        <v>23</v>
      </c>
      <c r="E566" s="4" t="s">
        <v>26</v>
      </c>
      <c r="F566" s="4">
        <v>7</v>
      </c>
      <c r="G566" s="4">
        <v>1200</v>
      </c>
      <c r="H566" s="4">
        <v>8400</v>
      </c>
      <c r="I566" s="4">
        <v>5881.33</v>
      </c>
      <c r="J566" s="4">
        <v>2518.67</v>
      </c>
      <c r="K566" s="7" t="s">
        <v>18</v>
      </c>
    </row>
    <row r="567" spans="1:11" x14ac:dyDescent="0.25">
      <c r="A567" s="6">
        <v>1566</v>
      </c>
      <c r="B567" s="5">
        <v>45665</v>
      </c>
      <c r="C567" s="4" t="s">
        <v>32</v>
      </c>
      <c r="D567" s="4" t="s">
        <v>16</v>
      </c>
      <c r="E567" s="4" t="s">
        <v>17</v>
      </c>
      <c r="F567" s="4">
        <v>4</v>
      </c>
      <c r="G567" s="4">
        <v>5000</v>
      </c>
      <c r="H567" s="4">
        <v>20000</v>
      </c>
      <c r="I567" s="4">
        <v>13611.71</v>
      </c>
      <c r="J567" s="4">
        <v>6388.29</v>
      </c>
      <c r="K567" s="7" t="s">
        <v>29</v>
      </c>
    </row>
    <row r="568" spans="1:11" x14ac:dyDescent="0.25">
      <c r="A568" s="6">
        <v>1567</v>
      </c>
      <c r="B568" s="5">
        <v>45773</v>
      </c>
      <c r="C568" s="4" t="s">
        <v>32</v>
      </c>
      <c r="D568" s="4" t="s">
        <v>16</v>
      </c>
      <c r="E568" s="4" t="s">
        <v>20</v>
      </c>
      <c r="F568" s="4">
        <v>1</v>
      </c>
      <c r="G568" s="4">
        <v>5000</v>
      </c>
      <c r="H568" s="4">
        <v>5000</v>
      </c>
      <c r="I568" s="4">
        <v>4033.81</v>
      </c>
      <c r="J568" s="4">
        <v>966.19</v>
      </c>
      <c r="K568" s="7" t="s">
        <v>27</v>
      </c>
    </row>
    <row r="569" spans="1:11" x14ac:dyDescent="0.25">
      <c r="A569" s="6">
        <v>1568</v>
      </c>
      <c r="B569" s="5">
        <v>45743</v>
      </c>
      <c r="C569" s="4" t="s">
        <v>15</v>
      </c>
      <c r="D569" s="4" t="s">
        <v>16</v>
      </c>
      <c r="E569" s="4" t="s">
        <v>20</v>
      </c>
      <c r="F569" s="4">
        <v>7</v>
      </c>
      <c r="G569" s="4">
        <v>2500</v>
      </c>
      <c r="H569" s="4">
        <v>17500</v>
      </c>
      <c r="I569" s="4">
        <v>13230.61</v>
      </c>
      <c r="J569" s="4">
        <v>4269.3900000000003</v>
      </c>
      <c r="K569" s="7" t="s">
        <v>18</v>
      </c>
    </row>
    <row r="570" spans="1:11" x14ac:dyDescent="0.25">
      <c r="A570" s="6">
        <v>1569</v>
      </c>
      <c r="B570" s="5">
        <v>45926</v>
      </c>
      <c r="C570" s="4" t="s">
        <v>32</v>
      </c>
      <c r="D570" s="4" t="s">
        <v>23</v>
      </c>
      <c r="E570" s="4" t="s">
        <v>24</v>
      </c>
      <c r="F570" s="4">
        <v>8</v>
      </c>
      <c r="G570" s="4">
        <v>5000</v>
      </c>
      <c r="H570" s="4">
        <v>40000</v>
      </c>
      <c r="I570" s="4">
        <v>29284.04</v>
      </c>
      <c r="J570" s="4">
        <v>10715.96</v>
      </c>
      <c r="K570" s="7" t="s">
        <v>21</v>
      </c>
    </row>
    <row r="571" spans="1:11" x14ac:dyDescent="0.25">
      <c r="A571" s="6">
        <v>1570</v>
      </c>
      <c r="B571" s="5">
        <v>45754</v>
      </c>
      <c r="C571" s="4" t="s">
        <v>11</v>
      </c>
      <c r="D571" s="4" t="s">
        <v>12</v>
      </c>
      <c r="E571" s="4" t="s">
        <v>13</v>
      </c>
      <c r="F571" s="4">
        <v>6</v>
      </c>
      <c r="G571" s="4">
        <v>1200</v>
      </c>
      <c r="H571" s="4">
        <v>7200</v>
      </c>
      <c r="I571" s="4">
        <v>4865.3100000000004</v>
      </c>
      <c r="J571" s="4">
        <v>2334.69</v>
      </c>
      <c r="K571" s="7" t="s">
        <v>21</v>
      </c>
    </row>
    <row r="572" spans="1:11" x14ac:dyDescent="0.25">
      <c r="A572" s="6">
        <v>1571</v>
      </c>
      <c r="B572" s="5">
        <v>45766</v>
      </c>
      <c r="C572" s="4" t="s">
        <v>15</v>
      </c>
      <c r="D572" s="4" t="s">
        <v>16</v>
      </c>
      <c r="E572" s="4" t="s">
        <v>20</v>
      </c>
      <c r="F572" s="4">
        <v>4</v>
      </c>
      <c r="G572" s="4">
        <v>5000</v>
      </c>
      <c r="H572" s="4">
        <v>20000</v>
      </c>
      <c r="I572" s="4">
        <v>17894.16</v>
      </c>
      <c r="J572" s="4">
        <v>2105.84</v>
      </c>
      <c r="K572" s="7" t="s">
        <v>29</v>
      </c>
    </row>
    <row r="573" spans="1:11" x14ac:dyDescent="0.25">
      <c r="A573" s="6">
        <v>1572</v>
      </c>
      <c r="B573" s="5">
        <v>45677</v>
      </c>
      <c r="C573" s="4" t="s">
        <v>30</v>
      </c>
      <c r="D573" s="4" t="s">
        <v>12</v>
      </c>
      <c r="E573" s="4" t="s">
        <v>13</v>
      </c>
      <c r="F573" s="4">
        <v>2</v>
      </c>
      <c r="G573" s="4">
        <v>500</v>
      </c>
      <c r="H573" s="4">
        <v>1000</v>
      </c>
      <c r="I573" s="4">
        <v>798.89</v>
      </c>
      <c r="J573" s="4">
        <v>201.11</v>
      </c>
      <c r="K573" s="7" t="s">
        <v>14</v>
      </c>
    </row>
    <row r="574" spans="1:11" x14ac:dyDescent="0.25">
      <c r="A574" s="6">
        <v>1573</v>
      </c>
      <c r="B574" s="5">
        <v>45682</v>
      </c>
      <c r="C574" s="4" t="s">
        <v>15</v>
      </c>
      <c r="D574" s="4" t="s">
        <v>23</v>
      </c>
      <c r="E574" s="4" t="s">
        <v>26</v>
      </c>
      <c r="F574" s="4">
        <v>10</v>
      </c>
      <c r="G574" s="4">
        <v>150</v>
      </c>
      <c r="H574" s="4">
        <v>1500</v>
      </c>
      <c r="I574" s="4">
        <v>1136.81</v>
      </c>
      <c r="J574" s="4">
        <v>363.19</v>
      </c>
      <c r="K574" s="7" t="s">
        <v>14</v>
      </c>
    </row>
    <row r="575" spans="1:11" x14ac:dyDescent="0.25">
      <c r="A575" s="6">
        <v>1574</v>
      </c>
      <c r="B575" s="5">
        <v>45721</v>
      </c>
      <c r="C575" s="4" t="s">
        <v>19</v>
      </c>
      <c r="D575" s="4" t="s">
        <v>16</v>
      </c>
      <c r="E575" s="4" t="s">
        <v>20</v>
      </c>
      <c r="F575" s="4">
        <v>2</v>
      </c>
      <c r="G575" s="4">
        <v>1200</v>
      </c>
      <c r="H575" s="4">
        <v>2400</v>
      </c>
      <c r="I575" s="4">
        <v>1693.22</v>
      </c>
      <c r="J575" s="4">
        <v>706.78</v>
      </c>
      <c r="K575" s="7" t="s">
        <v>27</v>
      </c>
    </row>
    <row r="576" spans="1:11" x14ac:dyDescent="0.25">
      <c r="A576" s="6">
        <v>1575</v>
      </c>
      <c r="B576" s="5">
        <v>45980</v>
      </c>
      <c r="C576" s="4" t="s">
        <v>15</v>
      </c>
      <c r="D576" s="4" t="s">
        <v>23</v>
      </c>
      <c r="E576" s="4" t="s">
        <v>26</v>
      </c>
      <c r="F576" s="4">
        <v>3</v>
      </c>
      <c r="G576" s="4">
        <v>250</v>
      </c>
      <c r="H576" s="4">
        <v>750</v>
      </c>
      <c r="I576" s="4">
        <v>594.99</v>
      </c>
      <c r="J576" s="4">
        <v>155.01</v>
      </c>
      <c r="K576" s="7" t="s">
        <v>27</v>
      </c>
    </row>
    <row r="577" spans="1:11" x14ac:dyDescent="0.25">
      <c r="A577" s="6">
        <v>1576</v>
      </c>
      <c r="B577" s="5">
        <v>45976</v>
      </c>
      <c r="C577" s="4" t="s">
        <v>19</v>
      </c>
      <c r="D577" s="4" t="s">
        <v>23</v>
      </c>
      <c r="E577" s="4" t="s">
        <v>26</v>
      </c>
      <c r="F577" s="4">
        <v>2</v>
      </c>
      <c r="G577" s="4">
        <v>5000</v>
      </c>
      <c r="H577" s="4">
        <v>10000</v>
      </c>
      <c r="I577" s="4">
        <v>7321.08</v>
      </c>
      <c r="J577" s="4">
        <v>2678.92</v>
      </c>
      <c r="K577" s="7" t="s">
        <v>14</v>
      </c>
    </row>
    <row r="578" spans="1:11" x14ac:dyDescent="0.25">
      <c r="A578" s="6">
        <v>1577</v>
      </c>
      <c r="B578" s="5">
        <v>45718</v>
      </c>
      <c r="C578" s="4" t="s">
        <v>32</v>
      </c>
      <c r="D578" s="4" t="s">
        <v>16</v>
      </c>
      <c r="E578" s="4" t="s">
        <v>22</v>
      </c>
      <c r="F578" s="4">
        <v>2</v>
      </c>
      <c r="G578" s="4">
        <v>2500</v>
      </c>
      <c r="H578" s="4">
        <v>5000</v>
      </c>
      <c r="I578" s="4">
        <v>4007.84</v>
      </c>
      <c r="J578" s="4">
        <v>992.16</v>
      </c>
      <c r="K578" s="7" t="s">
        <v>18</v>
      </c>
    </row>
    <row r="579" spans="1:11" x14ac:dyDescent="0.25">
      <c r="A579" s="6">
        <v>1578</v>
      </c>
      <c r="B579" s="5">
        <v>45792</v>
      </c>
      <c r="C579" s="4" t="s">
        <v>19</v>
      </c>
      <c r="D579" s="4" t="s">
        <v>16</v>
      </c>
      <c r="E579" s="4" t="s">
        <v>22</v>
      </c>
      <c r="F579" s="4">
        <v>4</v>
      </c>
      <c r="G579" s="4">
        <v>2500</v>
      </c>
      <c r="H579" s="4">
        <v>10000</v>
      </c>
      <c r="I579" s="4">
        <v>6199.12</v>
      </c>
      <c r="J579" s="4">
        <v>3800.88</v>
      </c>
      <c r="K579" s="7" t="s">
        <v>28</v>
      </c>
    </row>
    <row r="580" spans="1:11" x14ac:dyDescent="0.25">
      <c r="A580" s="6">
        <v>1579</v>
      </c>
      <c r="B580" s="5">
        <v>45938</v>
      </c>
      <c r="C580" s="4" t="s">
        <v>30</v>
      </c>
      <c r="D580" s="4" t="s">
        <v>23</v>
      </c>
      <c r="E580" s="4" t="s">
        <v>26</v>
      </c>
      <c r="F580" s="4">
        <v>7</v>
      </c>
      <c r="G580" s="4">
        <v>500</v>
      </c>
      <c r="H580" s="4">
        <v>3500</v>
      </c>
      <c r="I580" s="4">
        <v>2121.46</v>
      </c>
      <c r="J580" s="4">
        <v>1378.54</v>
      </c>
      <c r="K580" s="7" t="s">
        <v>28</v>
      </c>
    </row>
    <row r="581" spans="1:11" x14ac:dyDescent="0.25">
      <c r="A581" s="6">
        <v>1580</v>
      </c>
      <c r="B581" s="5">
        <v>46001</v>
      </c>
      <c r="C581" s="4" t="s">
        <v>15</v>
      </c>
      <c r="D581" s="4" t="s">
        <v>12</v>
      </c>
      <c r="E581" s="4" t="s">
        <v>33</v>
      </c>
      <c r="F581" s="4">
        <v>6</v>
      </c>
      <c r="G581" s="4">
        <v>250</v>
      </c>
      <c r="H581" s="4">
        <v>1500</v>
      </c>
      <c r="I581" s="4">
        <v>826.44</v>
      </c>
      <c r="J581" s="4">
        <v>673.56</v>
      </c>
      <c r="K581" s="7" t="s">
        <v>18</v>
      </c>
    </row>
    <row r="582" spans="1:11" x14ac:dyDescent="0.25">
      <c r="A582" s="6">
        <v>1581</v>
      </c>
      <c r="B582" s="5">
        <v>45919</v>
      </c>
      <c r="C582" s="4" t="s">
        <v>15</v>
      </c>
      <c r="D582" s="4" t="s">
        <v>12</v>
      </c>
      <c r="E582" s="4" t="s">
        <v>31</v>
      </c>
      <c r="F582" s="4">
        <v>8</v>
      </c>
      <c r="G582" s="4">
        <v>250</v>
      </c>
      <c r="H582" s="4">
        <v>2000</v>
      </c>
      <c r="I582" s="4">
        <v>1764.61</v>
      </c>
      <c r="J582" s="4">
        <v>235.39</v>
      </c>
      <c r="K582" s="7" t="s">
        <v>14</v>
      </c>
    </row>
    <row r="583" spans="1:11" x14ac:dyDescent="0.25">
      <c r="A583" s="6">
        <v>1582</v>
      </c>
      <c r="B583" s="5">
        <v>45809</v>
      </c>
      <c r="C583" s="4" t="s">
        <v>32</v>
      </c>
      <c r="D583" s="4" t="s">
        <v>12</v>
      </c>
      <c r="E583" s="4" t="s">
        <v>13</v>
      </c>
      <c r="F583" s="4">
        <v>5</v>
      </c>
      <c r="G583" s="4">
        <v>5000</v>
      </c>
      <c r="H583" s="4">
        <v>25000</v>
      </c>
      <c r="I583" s="4">
        <v>15772.65</v>
      </c>
      <c r="J583" s="4">
        <v>9227.35</v>
      </c>
      <c r="K583" s="7" t="s">
        <v>21</v>
      </c>
    </row>
    <row r="584" spans="1:11" x14ac:dyDescent="0.25">
      <c r="A584" s="6">
        <v>1583</v>
      </c>
      <c r="B584" s="5">
        <v>45806</v>
      </c>
      <c r="C584" s="4" t="s">
        <v>32</v>
      </c>
      <c r="D584" s="4" t="s">
        <v>16</v>
      </c>
      <c r="E584" s="4" t="s">
        <v>20</v>
      </c>
      <c r="F584" s="4">
        <v>3</v>
      </c>
      <c r="G584" s="4">
        <v>12000</v>
      </c>
      <c r="H584" s="4">
        <v>36000</v>
      </c>
      <c r="I584" s="4">
        <v>20297</v>
      </c>
      <c r="J584" s="4">
        <v>15703</v>
      </c>
      <c r="K584" s="7" t="s">
        <v>14</v>
      </c>
    </row>
    <row r="585" spans="1:11" x14ac:dyDescent="0.25">
      <c r="A585" s="6">
        <v>1584</v>
      </c>
      <c r="B585" s="5">
        <v>45681</v>
      </c>
      <c r="C585" s="4" t="s">
        <v>15</v>
      </c>
      <c r="D585" s="4" t="s">
        <v>23</v>
      </c>
      <c r="E585" s="4" t="s">
        <v>24</v>
      </c>
      <c r="F585" s="4">
        <v>2</v>
      </c>
      <c r="G585" s="4">
        <v>150</v>
      </c>
      <c r="H585" s="4">
        <v>300</v>
      </c>
      <c r="I585" s="4">
        <v>254.38</v>
      </c>
      <c r="J585" s="4">
        <v>45.62</v>
      </c>
      <c r="K585" s="7" t="s">
        <v>28</v>
      </c>
    </row>
    <row r="586" spans="1:11" x14ac:dyDescent="0.25">
      <c r="A586" s="6">
        <v>1585</v>
      </c>
      <c r="B586" s="5">
        <v>45882</v>
      </c>
      <c r="C586" s="4" t="s">
        <v>19</v>
      </c>
      <c r="D586" s="4" t="s">
        <v>12</v>
      </c>
      <c r="E586" s="4" t="s">
        <v>31</v>
      </c>
      <c r="F586" s="4">
        <v>3</v>
      </c>
      <c r="G586" s="4">
        <v>500</v>
      </c>
      <c r="H586" s="4">
        <v>1500</v>
      </c>
      <c r="I586" s="4">
        <v>1012.7</v>
      </c>
      <c r="J586" s="4">
        <v>487.3</v>
      </c>
      <c r="K586" s="7" t="s">
        <v>27</v>
      </c>
    </row>
    <row r="587" spans="1:11" x14ac:dyDescent="0.25">
      <c r="A587" s="6">
        <v>1586</v>
      </c>
      <c r="B587" s="5">
        <v>45716</v>
      </c>
      <c r="C587" s="4" t="s">
        <v>30</v>
      </c>
      <c r="D587" s="4" t="s">
        <v>12</v>
      </c>
      <c r="E587" s="4" t="s">
        <v>13</v>
      </c>
      <c r="F587" s="4">
        <v>6</v>
      </c>
      <c r="G587" s="4">
        <v>12000</v>
      </c>
      <c r="H587" s="4">
        <v>72000</v>
      </c>
      <c r="I587" s="4">
        <v>48236.61</v>
      </c>
      <c r="J587" s="4">
        <v>23763.39</v>
      </c>
      <c r="K587" s="7" t="s">
        <v>21</v>
      </c>
    </row>
    <row r="588" spans="1:11" x14ac:dyDescent="0.25">
      <c r="A588" s="6">
        <v>1587</v>
      </c>
      <c r="B588" s="5">
        <v>45873</v>
      </c>
      <c r="C588" s="4" t="s">
        <v>11</v>
      </c>
      <c r="D588" s="4" t="s">
        <v>23</v>
      </c>
      <c r="E588" s="4" t="s">
        <v>24</v>
      </c>
      <c r="F588" s="4">
        <v>7</v>
      </c>
      <c r="G588" s="4">
        <v>5000</v>
      </c>
      <c r="H588" s="4">
        <v>35000</v>
      </c>
      <c r="I588" s="4">
        <v>29670.73</v>
      </c>
      <c r="J588" s="4">
        <v>5329.27</v>
      </c>
      <c r="K588" s="7" t="s">
        <v>18</v>
      </c>
    </row>
    <row r="589" spans="1:11" x14ac:dyDescent="0.25">
      <c r="A589" s="6">
        <v>1588</v>
      </c>
      <c r="B589" s="5">
        <v>45871</v>
      </c>
      <c r="C589" s="4" t="s">
        <v>19</v>
      </c>
      <c r="D589" s="4" t="s">
        <v>16</v>
      </c>
      <c r="E589" s="4" t="s">
        <v>17</v>
      </c>
      <c r="F589" s="4">
        <v>1</v>
      </c>
      <c r="G589" s="4">
        <v>12000</v>
      </c>
      <c r="H589" s="4">
        <v>12000</v>
      </c>
      <c r="I589" s="4">
        <v>7269.46</v>
      </c>
      <c r="J589" s="4">
        <v>4730.54</v>
      </c>
      <c r="K589" s="7" t="s">
        <v>21</v>
      </c>
    </row>
    <row r="590" spans="1:11" x14ac:dyDescent="0.25">
      <c r="A590" s="6">
        <v>1589</v>
      </c>
      <c r="B590" s="5">
        <v>45841</v>
      </c>
      <c r="C590" s="4" t="s">
        <v>19</v>
      </c>
      <c r="D590" s="4" t="s">
        <v>12</v>
      </c>
      <c r="E590" s="4" t="s">
        <v>31</v>
      </c>
      <c r="F590" s="4">
        <v>8</v>
      </c>
      <c r="G590" s="4">
        <v>250</v>
      </c>
      <c r="H590" s="4">
        <v>2000</v>
      </c>
      <c r="I590" s="4">
        <v>1527.93</v>
      </c>
      <c r="J590" s="4">
        <v>472.07</v>
      </c>
      <c r="K590" s="7" t="s">
        <v>18</v>
      </c>
    </row>
    <row r="591" spans="1:11" x14ac:dyDescent="0.25">
      <c r="A591" s="6">
        <v>1590</v>
      </c>
      <c r="B591" s="5">
        <v>45715</v>
      </c>
      <c r="C591" s="4" t="s">
        <v>30</v>
      </c>
      <c r="D591" s="4" t="s">
        <v>12</v>
      </c>
      <c r="E591" s="4" t="s">
        <v>31</v>
      </c>
      <c r="F591" s="4">
        <v>3</v>
      </c>
      <c r="G591" s="4">
        <v>1200</v>
      </c>
      <c r="H591" s="4">
        <v>3600</v>
      </c>
      <c r="I591" s="4">
        <v>3139.7</v>
      </c>
      <c r="J591" s="4">
        <v>460.3</v>
      </c>
      <c r="K591" s="7" t="s">
        <v>21</v>
      </c>
    </row>
    <row r="592" spans="1:11" x14ac:dyDescent="0.25">
      <c r="A592" s="6">
        <v>1591</v>
      </c>
      <c r="B592" s="5">
        <v>46018</v>
      </c>
      <c r="C592" s="4" t="s">
        <v>19</v>
      </c>
      <c r="D592" s="4" t="s">
        <v>16</v>
      </c>
      <c r="E592" s="4" t="s">
        <v>20</v>
      </c>
      <c r="F592" s="4">
        <v>5</v>
      </c>
      <c r="G592" s="4">
        <v>5000</v>
      </c>
      <c r="H592" s="4">
        <v>25000</v>
      </c>
      <c r="I592" s="4">
        <v>16499.580000000002</v>
      </c>
      <c r="J592" s="4">
        <v>8500.42</v>
      </c>
      <c r="K592" s="7" t="s">
        <v>14</v>
      </c>
    </row>
    <row r="593" spans="1:11" x14ac:dyDescent="0.25">
      <c r="A593" s="6">
        <v>1592</v>
      </c>
      <c r="B593" s="5">
        <v>46000</v>
      </c>
      <c r="C593" s="4" t="s">
        <v>32</v>
      </c>
      <c r="D593" s="4" t="s">
        <v>12</v>
      </c>
      <c r="E593" s="4" t="s">
        <v>31</v>
      </c>
      <c r="F593" s="4">
        <v>10</v>
      </c>
      <c r="G593" s="4">
        <v>250</v>
      </c>
      <c r="H593" s="4">
        <v>2500</v>
      </c>
      <c r="I593" s="4">
        <v>2230.66</v>
      </c>
      <c r="J593" s="4">
        <v>269.33999999999997</v>
      </c>
      <c r="K593" s="7" t="s">
        <v>29</v>
      </c>
    </row>
    <row r="594" spans="1:11" x14ac:dyDescent="0.25">
      <c r="A594" s="6">
        <v>1593</v>
      </c>
      <c r="B594" s="5">
        <v>45785</v>
      </c>
      <c r="C594" s="4" t="s">
        <v>30</v>
      </c>
      <c r="D594" s="4" t="s">
        <v>12</v>
      </c>
      <c r="E594" s="4" t="s">
        <v>31</v>
      </c>
      <c r="F594" s="4">
        <v>10</v>
      </c>
      <c r="G594" s="4">
        <v>150</v>
      </c>
      <c r="H594" s="4">
        <v>1500</v>
      </c>
      <c r="I594" s="4">
        <v>1052.25</v>
      </c>
      <c r="J594" s="4">
        <v>447.75</v>
      </c>
      <c r="K594" s="7" t="s">
        <v>27</v>
      </c>
    </row>
    <row r="595" spans="1:11" x14ac:dyDescent="0.25">
      <c r="A595" s="6">
        <v>1594</v>
      </c>
      <c r="B595" s="5">
        <v>45943</v>
      </c>
      <c r="C595" s="4" t="s">
        <v>19</v>
      </c>
      <c r="D595" s="4" t="s">
        <v>12</v>
      </c>
      <c r="E595" s="4" t="s">
        <v>31</v>
      </c>
      <c r="F595" s="4">
        <v>7</v>
      </c>
      <c r="G595" s="4">
        <v>250</v>
      </c>
      <c r="H595" s="4">
        <v>1750</v>
      </c>
      <c r="I595" s="4">
        <v>1476.41</v>
      </c>
      <c r="J595" s="4">
        <v>273.58999999999997</v>
      </c>
      <c r="K595" s="7" t="s">
        <v>18</v>
      </c>
    </row>
    <row r="596" spans="1:11" x14ac:dyDescent="0.25">
      <c r="A596" s="6">
        <v>1595</v>
      </c>
      <c r="B596" s="5">
        <v>45911</v>
      </c>
      <c r="C596" s="4" t="s">
        <v>11</v>
      </c>
      <c r="D596" s="4" t="s">
        <v>16</v>
      </c>
      <c r="E596" s="4" t="s">
        <v>17</v>
      </c>
      <c r="F596" s="4">
        <v>3</v>
      </c>
      <c r="G596" s="4">
        <v>2500</v>
      </c>
      <c r="H596" s="4">
        <v>7500</v>
      </c>
      <c r="I596" s="4">
        <v>6353.22</v>
      </c>
      <c r="J596" s="4">
        <v>1146.78</v>
      </c>
      <c r="K596" s="7" t="s">
        <v>18</v>
      </c>
    </row>
    <row r="597" spans="1:11" x14ac:dyDescent="0.25">
      <c r="A597" s="6">
        <v>1596</v>
      </c>
      <c r="B597" s="5">
        <v>45683</v>
      </c>
      <c r="C597" s="4" t="s">
        <v>19</v>
      </c>
      <c r="D597" s="4" t="s">
        <v>23</v>
      </c>
      <c r="E597" s="4" t="s">
        <v>24</v>
      </c>
      <c r="F597" s="4">
        <v>4</v>
      </c>
      <c r="G597" s="4">
        <v>500</v>
      </c>
      <c r="H597" s="4">
        <v>2000</v>
      </c>
      <c r="I597" s="4">
        <v>1779.1</v>
      </c>
      <c r="J597" s="4">
        <v>220.9</v>
      </c>
      <c r="K597" s="7" t="s">
        <v>28</v>
      </c>
    </row>
    <row r="598" spans="1:11" x14ac:dyDescent="0.25">
      <c r="A598" s="6">
        <v>1597</v>
      </c>
      <c r="B598" s="5">
        <v>45698</v>
      </c>
      <c r="C598" s="4" t="s">
        <v>30</v>
      </c>
      <c r="D598" s="4" t="s">
        <v>12</v>
      </c>
      <c r="E598" s="4" t="s">
        <v>31</v>
      </c>
      <c r="F598" s="4">
        <v>7</v>
      </c>
      <c r="G598" s="4">
        <v>1200</v>
      </c>
      <c r="H598" s="4">
        <v>8400</v>
      </c>
      <c r="I598" s="4">
        <v>7022.28</v>
      </c>
      <c r="J598" s="4">
        <v>1377.72</v>
      </c>
      <c r="K598" s="7" t="s">
        <v>21</v>
      </c>
    </row>
    <row r="599" spans="1:11" x14ac:dyDescent="0.25">
      <c r="A599" s="6">
        <v>1598</v>
      </c>
      <c r="B599" s="5">
        <v>45819</v>
      </c>
      <c r="C599" s="4" t="s">
        <v>15</v>
      </c>
      <c r="D599" s="4" t="s">
        <v>12</v>
      </c>
      <c r="E599" s="4" t="s">
        <v>33</v>
      </c>
      <c r="F599" s="4">
        <v>2</v>
      </c>
      <c r="G599" s="4">
        <v>12000</v>
      </c>
      <c r="H599" s="4">
        <v>24000</v>
      </c>
      <c r="I599" s="4">
        <v>17387.03</v>
      </c>
      <c r="J599" s="4">
        <v>6612.97</v>
      </c>
      <c r="K599" s="7" t="s">
        <v>21</v>
      </c>
    </row>
    <row r="600" spans="1:11" x14ac:dyDescent="0.25">
      <c r="A600" s="6">
        <v>1599</v>
      </c>
      <c r="B600" s="5">
        <v>45676</v>
      </c>
      <c r="C600" s="4" t="s">
        <v>19</v>
      </c>
      <c r="D600" s="4" t="s">
        <v>12</v>
      </c>
      <c r="E600" s="4" t="s">
        <v>31</v>
      </c>
      <c r="F600" s="4">
        <v>1</v>
      </c>
      <c r="G600" s="4">
        <v>150</v>
      </c>
      <c r="H600" s="4">
        <v>150</v>
      </c>
      <c r="I600" s="4">
        <v>103.68</v>
      </c>
      <c r="J600" s="4">
        <v>46.32</v>
      </c>
      <c r="K600" s="7" t="s">
        <v>29</v>
      </c>
    </row>
    <row r="601" spans="1:11" x14ac:dyDescent="0.25">
      <c r="A601" s="6">
        <v>1600</v>
      </c>
      <c r="B601" s="5">
        <v>45918</v>
      </c>
      <c r="C601" s="4" t="s">
        <v>19</v>
      </c>
      <c r="D601" s="4" t="s">
        <v>16</v>
      </c>
      <c r="E601" s="4" t="s">
        <v>20</v>
      </c>
      <c r="F601" s="4">
        <v>10</v>
      </c>
      <c r="G601" s="4">
        <v>2500</v>
      </c>
      <c r="H601" s="4">
        <v>25000</v>
      </c>
      <c r="I601" s="4">
        <v>19328.46</v>
      </c>
      <c r="J601" s="4">
        <v>5671.54</v>
      </c>
      <c r="K601" s="7" t="s">
        <v>28</v>
      </c>
    </row>
    <row r="602" spans="1:11" x14ac:dyDescent="0.25">
      <c r="A602" s="6">
        <v>1601</v>
      </c>
      <c r="B602" s="5">
        <v>45685</v>
      </c>
      <c r="C602" s="4" t="s">
        <v>11</v>
      </c>
      <c r="D602" s="4" t="s">
        <v>12</v>
      </c>
      <c r="E602" s="4" t="s">
        <v>31</v>
      </c>
      <c r="F602" s="4">
        <v>8</v>
      </c>
      <c r="G602" s="4">
        <v>500</v>
      </c>
      <c r="H602" s="4">
        <v>4000</v>
      </c>
      <c r="I602" s="4">
        <v>2708.68</v>
      </c>
      <c r="J602" s="4">
        <v>1291.32</v>
      </c>
      <c r="K602" s="7" t="s">
        <v>21</v>
      </c>
    </row>
    <row r="603" spans="1:11" x14ac:dyDescent="0.25">
      <c r="A603" s="6">
        <v>1602</v>
      </c>
      <c r="B603" s="5">
        <v>45994</v>
      </c>
      <c r="C603" s="4" t="s">
        <v>32</v>
      </c>
      <c r="D603" s="4" t="s">
        <v>23</v>
      </c>
      <c r="E603" s="4" t="s">
        <v>26</v>
      </c>
      <c r="F603" s="4">
        <v>10</v>
      </c>
      <c r="G603" s="4">
        <v>2500</v>
      </c>
      <c r="H603" s="4">
        <v>25000</v>
      </c>
      <c r="I603" s="4">
        <v>17889.919999999998</v>
      </c>
      <c r="J603" s="4">
        <v>7110.08</v>
      </c>
      <c r="K603" s="7" t="s">
        <v>14</v>
      </c>
    </row>
    <row r="604" spans="1:11" x14ac:dyDescent="0.25">
      <c r="A604" s="6">
        <v>1603</v>
      </c>
      <c r="B604" s="5">
        <v>45659</v>
      </c>
      <c r="C604" s="4" t="s">
        <v>32</v>
      </c>
      <c r="D604" s="4" t="s">
        <v>23</v>
      </c>
      <c r="E604" s="4" t="s">
        <v>25</v>
      </c>
      <c r="F604" s="4">
        <v>2</v>
      </c>
      <c r="G604" s="4">
        <v>12000</v>
      </c>
      <c r="H604" s="4">
        <v>24000</v>
      </c>
      <c r="I604" s="4">
        <v>18734.849999999999</v>
      </c>
      <c r="J604" s="4">
        <v>5265.15</v>
      </c>
      <c r="K604" s="7" t="s">
        <v>27</v>
      </c>
    </row>
    <row r="605" spans="1:11" x14ac:dyDescent="0.25">
      <c r="A605" s="6">
        <v>1604</v>
      </c>
      <c r="B605" s="5">
        <v>45712</v>
      </c>
      <c r="C605" s="4" t="s">
        <v>15</v>
      </c>
      <c r="D605" s="4" t="s">
        <v>12</v>
      </c>
      <c r="E605" s="4" t="s">
        <v>33</v>
      </c>
      <c r="F605" s="4">
        <v>9</v>
      </c>
      <c r="G605" s="4">
        <v>2500</v>
      </c>
      <c r="H605" s="4">
        <v>22500</v>
      </c>
      <c r="I605" s="4">
        <v>15319.39</v>
      </c>
      <c r="J605" s="4">
        <v>7180.61</v>
      </c>
      <c r="K605" s="7" t="s">
        <v>28</v>
      </c>
    </row>
    <row r="606" spans="1:11" x14ac:dyDescent="0.25">
      <c r="A606" s="6">
        <v>1605</v>
      </c>
      <c r="B606" s="5">
        <v>45758</v>
      </c>
      <c r="C606" s="4" t="s">
        <v>11</v>
      </c>
      <c r="D606" s="4" t="s">
        <v>23</v>
      </c>
      <c r="E606" s="4" t="s">
        <v>25</v>
      </c>
      <c r="F606" s="4">
        <v>7</v>
      </c>
      <c r="G606" s="4">
        <v>150</v>
      </c>
      <c r="H606" s="4">
        <v>1050</v>
      </c>
      <c r="I606" s="4">
        <v>670.95</v>
      </c>
      <c r="J606" s="4">
        <v>379.05</v>
      </c>
      <c r="K606" s="7" t="s">
        <v>18</v>
      </c>
    </row>
    <row r="607" spans="1:11" x14ac:dyDescent="0.25">
      <c r="A607" s="6">
        <v>1606</v>
      </c>
      <c r="B607" s="5">
        <v>45831</v>
      </c>
      <c r="C607" s="4" t="s">
        <v>15</v>
      </c>
      <c r="D607" s="4" t="s">
        <v>23</v>
      </c>
      <c r="E607" s="4" t="s">
        <v>25</v>
      </c>
      <c r="F607" s="4">
        <v>8</v>
      </c>
      <c r="G607" s="4">
        <v>12000</v>
      </c>
      <c r="H607" s="4">
        <v>96000</v>
      </c>
      <c r="I607" s="4">
        <v>79055.73</v>
      </c>
      <c r="J607" s="4">
        <v>16944.27</v>
      </c>
      <c r="K607" s="7" t="s">
        <v>21</v>
      </c>
    </row>
    <row r="608" spans="1:11" x14ac:dyDescent="0.25">
      <c r="A608" s="6">
        <v>1607</v>
      </c>
      <c r="B608" s="5">
        <v>45888</v>
      </c>
      <c r="C608" s="4" t="s">
        <v>30</v>
      </c>
      <c r="D608" s="4" t="s">
        <v>16</v>
      </c>
      <c r="E608" s="4" t="s">
        <v>17</v>
      </c>
      <c r="F608" s="4">
        <v>10</v>
      </c>
      <c r="G608" s="4">
        <v>150</v>
      </c>
      <c r="H608" s="4">
        <v>1500</v>
      </c>
      <c r="I608" s="4">
        <v>1230.3800000000001</v>
      </c>
      <c r="J608" s="4">
        <v>269.62</v>
      </c>
      <c r="K608" s="7" t="s">
        <v>14</v>
      </c>
    </row>
    <row r="609" spans="1:11" x14ac:dyDescent="0.25">
      <c r="A609" s="6">
        <v>1608</v>
      </c>
      <c r="B609" s="5">
        <v>45682</v>
      </c>
      <c r="C609" s="4" t="s">
        <v>19</v>
      </c>
      <c r="D609" s="4" t="s">
        <v>12</v>
      </c>
      <c r="E609" s="4" t="s">
        <v>31</v>
      </c>
      <c r="F609" s="4">
        <v>3</v>
      </c>
      <c r="G609" s="4">
        <v>1200</v>
      </c>
      <c r="H609" s="4">
        <v>3600</v>
      </c>
      <c r="I609" s="4">
        <v>1985.47</v>
      </c>
      <c r="J609" s="4">
        <v>1614.53</v>
      </c>
      <c r="K609" s="7" t="s">
        <v>21</v>
      </c>
    </row>
    <row r="610" spans="1:11" x14ac:dyDescent="0.25">
      <c r="A610" s="6">
        <v>1609</v>
      </c>
      <c r="B610" s="5">
        <v>45748</v>
      </c>
      <c r="C610" s="4" t="s">
        <v>19</v>
      </c>
      <c r="D610" s="4" t="s">
        <v>12</v>
      </c>
      <c r="E610" s="4" t="s">
        <v>33</v>
      </c>
      <c r="F610" s="4">
        <v>9</v>
      </c>
      <c r="G610" s="4">
        <v>12000</v>
      </c>
      <c r="H610" s="4">
        <v>108000</v>
      </c>
      <c r="I610" s="4">
        <v>94219.94</v>
      </c>
      <c r="J610" s="4">
        <v>13780.06</v>
      </c>
      <c r="K610" s="7" t="s">
        <v>28</v>
      </c>
    </row>
    <row r="611" spans="1:11" x14ac:dyDescent="0.25">
      <c r="A611" s="6">
        <v>1610</v>
      </c>
      <c r="B611" s="5">
        <v>45968</v>
      </c>
      <c r="C611" s="4" t="s">
        <v>32</v>
      </c>
      <c r="D611" s="4" t="s">
        <v>12</v>
      </c>
      <c r="E611" s="4" t="s">
        <v>13</v>
      </c>
      <c r="F611" s="4">
        <v>2</v>
      </c>
      <c r="G611" s="4">
        <v>1200</v>
      </c>
      <c r="H611" s="4">
        <v>2400</v>
      </c>
      <c r="I611" s="4">
        <v>1872.32</v>
      </c>
      <c r="J611" s="4">
        <v>527.67999999999995</v>
      </c>
      <c r="K611" s="7" t="s">
        <v>29</v>
      </c>
    </row>
    <row r="612" spans="1:11" x14ac:dyDescent="0.25">
      <c r="A612" s="6">
        <v>1611</v>
      </c>
      <c r="B612" s="5">
        <v>45798</v>
      </c>
      <c r="C612" s="4" t="s">
        <v>30</v>
      </c>
      <c r="D612" s="4" t="s">
        <v>23</v>
      </c>
      <c r="E612" s="4" t="s">
        <v>24</v>
      </c>
      <c r="F612" s="4">
        <v>10</v>
      </c>
      <c r="G612" s="4">
        <v>5000</v>
      </c>
      <c r="H612" s="4">
        <v>50000</v>
      </c>
      <c r="I612" s="4">
        <v>40841.56</v>
      </c>
      <c r="J612" s="4">
        <v>9158.44</v>
      </c>
      <c r="K612" s="7" t="s">
        <v>27</v>
      </c>
    </row>
    <row r="613" spans="1:11" x14ac:dyDescent="0.25">
      <c r="A613" s="6">
        <v>1612</v>
      </c>
      <c r="B613" s="5">
        <v>46016</v>
      </c>
      <c r="C613" s="4" t="s">
        <v>19</v>
      </c>
      <c r="D613" s="4" t="s">
        <v>23</v>
      </c>
      <c r="E613" s="4" t="s">
        <v>24</v>
      </c>
      <c r="F613" s="4">
        <v>3</v>
      </c>
      <c r="G613" s="4">
        <v>250</v>
      </c>
      <c r="H613" s="4">
        <v>750</v>
      </c>
      <c r="I613" s="4">
        <v>520.85</v>
      </c>
      <c r="J613" s="4">
        <v>229.15</v>
      </c>
      <c r="K613" s="7" t="s">
        <v>27</v>
      </c>
    </row>
    <row r="614" spans="1:11" x14ac:dyDescent="0.25">
      <c r="A614" s="6">
        <v>1613</v>
      </c>
      <c r="B614" s="5">
        <v>45941</v>
      </c>
      <c r="C614" s="4" t="s">
        <v>11</v>
      </c>
      <c r="D614" s="4" t="s">
        <v>12</v>
      </c>
      <c r="E614" s="4" t="s">
        <v>31</v>
      </c>
      <c r="F614" s="4">
        <v>6</v>
      </c>
      <c r="G614" s="4">
        <v>5000</v>
      </c>
      <c r="H614" s="4">
        <v>30000</v>
      </c>
      <c r="I614" s="4">
        <v>24236.6</v>
      </c>
      <c r="J614" s="4">
        <v>5763.4</v>
      </c>
      <c r="K614" s="7" t="s">
        <v>28</v>
      </c>
    </row>
    <row r="615" spans="1:11" x14ac:dyDescent="0.25">
      <c r="A615" s="6">
        <v>1614</v>
      </c>
      <c r="B615" s="5">
        <v>46002</v>
      </c>
      <c r="C615" s="4" t="s">
        <v>11</v>
      </c>
      <c r="D615" s="4" t="s">
        <v>16</v>
      </c>
      <c r="E615" s="4" t="s">
        <v>17</v>
      </c>
      <c r="F615" s="4">
        <v>5</v>
      </c>
      <c r="G615" s="4">
        <v>5000</v>
      </c>
      <c r="H615" s="4">
        <v>25000</v>
      </c>
      <c r="I615" s="4">
        <v>16771.32</v>
      </c>
      <c r="J615" s="4">
        <v>8228.68</v>
      </c>
      <c r="K615" s="7" t="s">
        <v>14</v>
      </c>
    </row>
    <row r="616" spans="1:11" x14ac:dyDescent="0.25">
      <c r="A616" s="6">
        <v>1615</v>
      </c>
      <c r="B616" s="5">
        <v>45823</v>
      </c>
      <c r="C616" s="4" t="s">
        <v>15</v>
      </c>
      <c r="D616" s="4" t="s">
        <v>12</v>
      </c>
      <c r="E616" s="4" t="s">
        <v>13</v>
      </c>
      <c r="F616" s="4">
        <v>9</v>
      </c>
      <c r="G616" s="4">
        <v>2500</v>
      </c>
      <c r="H616" s="4">
        <v>22500</v>
      </c>
      <c r="I616" s="4">
        <v>17842.71</v>
      </c>
      <c r="J616" s="4">
        <v>4657.29</v>
      </c>
      <c r="K616" s="7" t="s">
        <v>27</v>
      </c>
    </row>
    <row r="617" spans="1:11" x14ac:dyDescent="0.25">
      <c r="A617" s="6">
        <v>1616</v>
      </c>
      <c r="B617" s="5">
        <v>46021</v>
      </c>
      <c r="C617" s="4" t="s">
        <v>30</v>
      </c>
      <c r="D617" s="4" t="s">
        <v>12</v>
      </c>
      <c r="E617" s="4" t="s">
        <v>33</v>
      </c>
      <c r="F617" s="4">
        <v>10</v>
      </c>
      <c r="G617" s="4">
        <v>2500</v>
      </c>
      <c r="H617" s="4">
        <v>25000</v>
      </c>
      <c r="I617" s="4">
        <v>21998.39</v>
      </c>
      <c r="J617" s="4">
        <v>3001.61</v>
      </c>
      <c r="K617" s="7" t="s">
        <v>14</v>
      </c>
    </row>
    <row r="618" spans="1:11" x14ac:dyDescent="0.25">
      <c r="A618" s="6">
        <v>1617</v>
      </c>
      <c r="B618" s="5">
        <v>45664</v>
      </c>
      <c r="C618" s="4" t="s">
        <v>19</v>
      </c>
      <c r="D618" s="4" t="s">
        <v>12</v>
      </c>
      <c r="E618" s="4" t="s">
        <v>31</v>
      </c>
      <c r="F618" s="4">
        <v>5</v>
      </c>
      <c r="G618" s="4">
        <v>12000</v>
      </c>
      <c r="H618" s="4">
        <v>60000</v>
      </c>
      <c r="I618" s="4">
        <v>41870.11</v>
      </c>
      <c r="J618" s="4">
        <v>18129.89</v>
      </c>
      <c r="K618" s="7" t="s">
        <v>18</v>
      </c>
    </row>
    <row r="619" spans="1:11" x14ac:dyDescent="0.25">
      <c r="A619" s="6">
        <v>1618</v>
      </c>
      <c r="B619" s="5">
        <v>45760</v>
      </c>
      <c r="C619" s="4" t="s">
        <v>32</v>
      </c>
      <c r="D619" s="4" t="s">
        <v>16</v>
      </c>
      <c r="E619" s="4" t="s">
        <v>22</v>
      </c>
      <c r="F619" s="4">
        <v>3</v>
      </c>
      <c r="G619" s="4">
        <v>150</v>
      </c>
      <c r="H619" s="4">
        <v>450</v>
      </c>
      <c r="I619" s="4">
        <v>353.07</v>
      </c>
      <c r="J619" s="4">
        <v>96.93</v>
      </c>
      <c r="K619" s="7" t="s">
        <v>28</v>
      </c>
    </row>
    <row r="620" spans="1:11" x14ac:dyDescent="0.25">
      <c r="A620" s="6">
        <v>1619</v>
      </c>
      <c r="B620" s="5">
        <v>46011</v>
      </c>
      <c r="C620" s="4" t="s">
        <v>32</v>
      </c>
      <c r="D620" s="4" t="s">
        <v>23</v>
      </c>
      <c r="E620" s="4" t="s">
        <v>26</v>
      </c>
      <c r="F620" s="4">
        <v>5</v>
      </c>
      <c r="G620" s="4">
        <v>250</v>
      </c>
      <c r="H620" s="4">
        <v>1250</v>
      </c>
      <c r="I620" s="4">
        <v>1054.73</v>
      </c>
      <c r="J620" s="4">
        <v>195.27</v>
      </c>
      <c r="K620" s="7" t="s">
        <v>28</v>
      </c>
    </row>
    <row r="621" spans="1:11" x14ac:dyDescent="0.25">
      <c r="A621" s="6">
        <v>1620</v>
      </c>
      <c r="B621" s="5">
        <v>45973</v>
      </c>
      <c r="C621" s="4" t="s">
        <v>19</v>
      </c>
      <c r="D621" s="4" t="s">
        <v>12</v>
      </c>
      <c r="E621" s="4" t="s">
        <v>13</v>
      </c>
      <c r="F621" s="4">
        <v>6</v>
      </c>
      <c r="G621" s="4">
        <v>12000</v>
      </c>
      <c r="H621" s="4">
        <v>72000</v>
      </c>
      <c r="I621" s="4">
        <v>51005.38</v>
      </c>
      <c r="J621" s="4">
        <v>20994.62</v>
      </c>
      <c r="K621" s="7" t="s">
        <v>28</v>
      </c>
    </row>
    <row r="622" spans="1:11" x14ac:dyDescent="0.25">
      <c r="A622" s="6">
        <v>1621</v>
      </c>
      <c r="B622" s="5">
        <v>46014</v>
      </c>
      <c r="C622" s="4" t="s">
        <v>32</v>
      </c>
      <c r="D622" s="4" t="s">
        <v>12</v>
      </c>
      <c r="E622" s="4" t="s">
        <v>31</v>
      </c>
      <c r="F622" s="4">
        <v>9</v>
      </c>
      <c r="G622" s="4">
        <v>1200</v>
      </c>
      <c r="H622" s="4">
        <v>10800</v>
      </c>
      <c r="I622" s="4">
        <v>6838.11</v>
      </c>
      <c r="J622" s="4">
        <v>3961.89</v>
      </c>
      <c r="K622" s="7" t="s">
        <v>14</v>
      </c>
    </row>
    <row r="623" spans="1:11" x14ac:dyDescent="0.25">
      <c r="A623" s="6">
        <v>1622</v>
      </c>
      <c r="B623" s="5">
        <v>46008</v>
      </c>
      <c r="C623" s="4" t="s">
        <v>32</v>
      </c>
      <c r="D623" s="4" t="s">
        <v>12</v>
      </c>
      <c r="E623" s="4" t="s">
        <v>13</v>
      </c>
      <c r="F623" s="4">
        <v>7</v>
      </c>
      <c r="G623" s="4">
        <v>1200</v>
      </c>
      <c r="H623" s="4">
        <v>8400</v>
      </c>
      <c r="I623" s="4">
        <v>5844.7</v>
      </c>
      <c r="J623" s="4">
        <v>2555.3000000000002</v>
      </c>
      <c r="K623" s="7" t="s">
        <v>29</v>
      </c>
    </row>
    <row r="624" spans="1:11" x14ac:dyDescent="0.25">
      <c r="A624" s="6">
        <v>1623</v>
      </c>
      <c r="B624" s="5">
        <v>45884</v>
      </c>
      <c r="C624" s="4" t="s">
        <v>11</v>
      </c>
      <c r="D624" s="4" t="s">
        <v>16</v>
      </c>
      <c r="E624" s="4" t="s">
        <v>20</v>
      </c>
      <c r="F624" s="4">
        <v>5</v>
      </c>
      <c r="G624" s="4">
        <v>250</v>
      </c>
      <c r="H624" s="4">
        <v>1250</v>
      </c>
      <c r="I624" s="4">
        <v>959</v>
      </c>
      <c r="J624" s="4">
        <v>291</v>
      </c>
      <c r="K624" s="7" t="s">
        <v>14</v>
      </c>
    </row>
    <row r="625" spans="1:11" x14ac:dyDescent="0.25">
      <c r="A625" s="6">
        <v>1624</v>
      </c>
      <c r="B625" s="5">
        <v>45966</v>
      </c>
      <c r="C625" s="4" t="s">
        <v>11</v>
      </c>
      <c r="D625" s="4" t="s">
        <v>12</v>
      </c>
      <c r="E625" s="4" t="s">
        <v>31</v>
      </c>
      <c r="F625" s="4">
        <v>6</v>
      </c>
      <c r="G625" s="4">
        <v>12000</v>
      </c>
      <c r="H625" s="4">
        <v>72000</v>
      </c>
      <c r="I625" s="4">
        <v>54427.31</v>
      </c>
      <c r="J625" s="4">
        <v>17572.689999999999</v>
      </c>
      <c r="K625" s="7" t="s">
        <v>14</v>
      </c>
    </row>
    <row r="626" spans="1:11" x14ac:dyDescent="0.25">
      <c r="A626" s="6">
        <v>1625</v>
      </c>
      <c r="B626" s="5">
        <v>45696</v>
      </c>
      <c r="C626" s="4" t="s">
        <v>11</v>
      </c>
      <c r="D626" s="4" t="s">
        <v>16</v>
      </c>
      <c r="E626" s="4" t="s">
        <v>22</v>
      </c>
      <c r="F626" s="4">
        <v>8</v>
      </c>
      <c r="G626" s="4">
        <v>250</v>
      </c>
      <c r="H626" s="4">
        <v>2000</v>
      </c>
      <c r="I626" s="4">
        <v>1788.42</v>
      </c>
      <c r="J626" s="4">
        <v>211.58</v>
      </c>
      <c r="K626" s="7" t="s">
        <v>28</v>
      </c>
    </row>
    <row r="627" spans="1:11" x14ac:dyDescent="0.25">
      <c r="A627" s="6">
        <v>1626</v>
      </c>
      <c r="B627" s="5">
        <v>45800</v>
      </c>
      <c r="C627" s="4" t="s">
        <v>19</v>
      </c>
      <c r="D627" s="4" t="s">
        <v>12</v>
      </c>
      <c r="E627" s="4" t="s">
        <v>31</v>
      </c>
      <c r="F627" s="4">
        <v>2</v>
      </c>
      <c r="G627" s="4">
        <v>1200</v>
      </c>
      <c r="H627" s="4">
        <v>2400</v>
      </c>
      <c r="I627" s="4">
        <v>1354.13</v>
      </c>
      <c r="J627" s="4">
        <v>1045.8699999999999</v>
      </c>
      <c r="K627" s="7" t="s">
        <v>27</v>
      </c>
    </row>
    <row r="628" spans="1:11" x14ac:dyDescent="0.25">
      <c r="A628" s="6">
        <v>1627</v>
      </c>
      <c r="B628" s="5">
        <v>45827</v>
      </c>
      <c r="C628" s="4" t="s">
        <v>30</v>
      </c>
      <c r="D628" s="4" t="s">
        <v>16</v>
      </c>
      <c r="E628" s="4" t="s">
        <v>20</v>
      </c>
      <c r="F628" s="4">
        <v>10</v>
      </c>
      <c r="G628" s="4">
        <v>12000</v>
      </c>
      <c r="H628" s="4">
        <v>120000</v>
      </c>
      <c r="I628" s="4">
        <v>76710.679999999993</v>
      </c>
      <c r="J628" s="4">
        <v>43289.32</v>
      </c>
      <c r="K628" s="7" t="s">
        <v>14</v>
      </c>
    </row>
    <row r="629" spans="1:11" x14ac:dyDescent="0.25">
      <c r="A629" s="6">
        <v>1628</v>
      </c>
      <c r="B629" s="5">
        <v>45978</v>
      </c>
      <c r="C629" s="4" t="s">
        <v>19</v>
      </c>
      <c r="D629" s="4" t="s">
        <v>16</v>
      </c>
      <c r="E629" s="4" t="s">
        <v>20</v>
      </c>
      <c r="F629" s="4">
        <v>3</v>
      </c>
      <c r="G629" s="4">
        <v>500</v>
      </c>
      <c r="H629" s="4">
        <v>1500</v>
      </c>
      <c r="I629" s="4">
        <v>1138.3599999999999</v>
      </c>
      <c r="J629" s="4">
        <v>361.64</v>
      </c>
      <c r="K629" s="7" t="s">
        <v>14</v>
      </c>
    </row>
    <row r="630" spans="1:11" x14ac:dyDescent="0.25">
      <c r="A630" s="6">
        <v>1629</v>
      </c>
      <c r="B630" s="5">
        <v>46020</v>
      </c>
      <c r="C630" s="4" t="s">
        <v>32</v>
      </c>
      <c r="D630" s="4" t="s">
        <v>23</v>
      </c>
      <c r="E630" s="4" t="s">
        <v>24</v>
      </c>
      <c r="F630" s="4">
        <v>10</v>
      </c>
      <c r="G630" s="4">
        <v>2500</v>
      </c>
      <c r="H630" s="4">
        <v>25000</v>
      </c>
      <c r="I630" s="4">
        <v>16883.25</v>
      </c>
      <c r="J630" s="4">
        <v>8116.75</v>
      </c>
      <c r="K630" s="7" t="s">
        <v>29</v>
      </c>
    </row>
    <row r="631" spans="1:11" x14ac:dyDescent="0.25">
      <c r="A631" s="6">
        <v>1630</v>
      </c>
      <c r="B631" s="5">
        <v>45739</v>
      </c>
      <c r="C631" s="4" t="s">
        <v>30</v>
      </c>
      <c r="D631" s="4" t="s">
        <v>16</v>
      </c>
      <c r="E631" s="4" t="s">
        <v>20</v>
      </c>
      <c r="F631" s="4">
        <v>9</v>
      </c>
      <c r="G631" s="4">
        <v>150</v>
      </c>
      <c r="H631" s="4">
        <v>1350</v>
      </c>
      <c r="I631" s="4">
        <v>1114.01</v>
      </c>
      <c r="J631" s="4">
        <v>235.99</v>
      </c>
      <c r="K631" s="7" t="s">
        <v>29</v>
      </c>
    </row>
    <row r="632" spans="1:11" x14ac:dyDescent="0.25">
      <c r="A632" s="6">
        <v>1631</v>
      </c>
      <c r="B632" s="5">
        <v>45767</v>
      </c>
      <c r="C632" s="4" t="s">
        <v>32</v>
      </c>
      <c r="D632" s="4" t="s">
        <v>12</v>
      </c>
      <c r="E632" s="4" t="s">
        <v>33</v>
      </c>
      <c r="F632" s="4">
        <v>2</v>
      </c>
      <c r="G632" s="4">
        <v>500</v>
      </c>
      <c r="H632" s="4">
        <v>1000</v>
      </c>
      <c r="I632" s="4">
        <v>627.41999999999996</v>
      </c>
      <c r="J632" s="4">
        <v>372.58</v>
      </c>
      <c r="K632" s="7" t="s">
        <v>27</v>
      </c>
    </row>
    <row r="633" spans="1:11" x14ac:dyDescent="0.25">
      <c r="A633" s="6">
        <v>1632</v>
      </c>
      <c r="B633" s="5">
        <v>45901</v>
      </c>
      <c r="C633" s="4" t="s">
        <v>19</v>
      </c>
      <c r="D633" s="4" t="s">
        <v>23</v>
      </c>
      <c r="E633" s="4" t="s">
        <v>24</v>
      </c>
      <c r="F633" s="4">
        <v>4</v>
      </c>
      <c r="G633" s="4">
        <v>12000</v>
      </c>
      <c r="H633" s="4">
        <v>48000</v>
      </c>
      <c r="I633" s="4">
        <v>36787.11</v>
      </c>
      <c r="J633" s="4">
        <v>11212.89</v>
      </c>
      <c r="K633" s="7" t="s">
        <v>14</v>
      </c>
    </row>
    <row r="634" spans="1:11" x14ac:dyDescent="0.25">
      <c r="A634" s="6">
        <v>1633</v>
      </c>
      <c r="B634" s="5">
        <v>45986</v>
      </c>
      <c r="C634" s="4" t="s">
        <v>19</v>
      </c>
      <c r="D634" s="4" t="s">
        <v>16</v>
      </c>
      <c r="E634" s="4" t="s">
        <v>20</v>
      </c>
      <c r="F634" s="4">
        <v>6</v>
      </c>
      <c r="G634" s="4">
        <v>1200</v>
      </c>
      <c r="H634" s="4">
        <v>7200</v>
      </c>
      <c r="I634" s="4">
        <v>4565.68</v>
      </c>
      <c r="J634" s="4">
        <v>2634.32</v>
      </c>
      <c r="K634" s="7" t="s">
        <v>29</v>
      </c>
    </row>
    <row r="635" spans="1:11" x14ac:dyDescent="0.25">
      <c r="A635" s="6">
        <v>1634</v>
      </c>
      <c r="B635" s="5">
        <v>45716</v>
      </c>
      <c r="C635" s="4" t="s">
        <v>30</v>
      </c>
      <c r="D635" s="4" t="s">
        <v>16</v>
      </c>
      <c r="E635" s="4" t="s">
        <v>20</v>
      </c>
      <c r="F635" s="4">
        <v>6</v>
      </c>
      <c r="G635" s="4">
        <v>1200</v>
      </c>
      <c r="H635" s="4">
        <v>7200</v>
      </c>
      <c r="I635" s="4">
        <v>6268.15</v>
      </c>
      <c r="J635" s="4">
        <v>931.85</v>
      </c>
      <c r="K635" s="7" t="s">
        <v>27</v>
      </c>
    </row>
    <row r="636" spans="1:11" x14ac:dyDescent="0.25">
      <c r="A636" s="6">
        <v>1635</v>
      </c>
      <c r="B636" s="5">
        <v>45849</v>
      </c>
      <c r="C636" s="4" t="s">
        <v>19</v>
      </c>
      <c r="D636" s="4" t="s">
        <v>12</v>
      </c>
      <c r="E636" s="4" t="s">
        <v>31</v>
      </c>
      <c r="F636" s="4">
        <v>5</v>
      </c>
      <c r="G636" s="4">
        <v>150</v>
      </c>
      <c r="H636" s="4">
        <v>750</v>
      </c>
      <c r="I636" s="4">
        <v>651.73</v>
      </c>
      <c r="J636" s="4">
        <v>98.27</v>
      </c>
      <c r="K636" s="7" t="s">
        <v>29</v>
      </c>
    </row>
    <row r="637" spans="1:11" x14ac:dyDescent="0.25">
      <c r="A637" s="6">
        <v>1636</v>
      </c>
      <c r="B637" s="5">
        <v>45756</v>
      </c>
      <c r="C637" s="4" t="s">
        <v>32</v>
      </c>
      <c r="D637" s="4" t="s">
        <v>23</v>
      </c>
      <c r="E637" s="4" t="s">
        <v>24</v>
      </c>
      <c r="F637" s="4">
        <v>1</v>
      </c>
      <c r="G637" s="4">
        <v>500</v>
      </c>
      <c r="H637" s="4">
        <v>500</v>
      </c>
      <c r="I637" s="4">
        <v>432.2</v>
      </c>
      <c r="J637" s="4">
        <v>67.8</v>
      </c>
      <c r="K637" s="7" t="s">
        <v>29</v>
      </c>
    </row>
    <row r="638" spans="1:11" x14ac:dyDescent="0.25">
      <c r="A638" s="6">
        <v>1637</v>
      </c>
      <c r="B638" s="5">
        <v>45661</v>
      </c>
      <c r="C638" s="4" t="s">
        <v>15</v>
      </c>
      <c r="D638" s="4" t="s">
        <v>16</v>
      </c>
      <c r="E638" s="4" t="s">
        <v>20</v>
      </c>
      <c r="F638" s="4">
        <v>3</v>
      </c>
      <c r="G638" s="4">
        <v>12000</v>
      </c>
      <c r="H638" s="4">
        <v>36000</v>
      </c>
      <c r="I638" s="4">
        <v>26578.48</v>
      </c>
      <c r="J638" s="4">
        <v>9421.52</v>
      </c>
      <c r="K638" s="7" t="s">
        <v>28</v>
      </c>
    </row>
    <row r="639" spans="1:11" x14ac:dyDescent="0.25">
      <c r="A639" s="6">
        <v>1638</v>
      </c>
      <c r="B639" s="5">
        <v>45711</v>
      </c>
      <c r="C639" s="4" t="s">
        <v>11</v>
      </c>
      <c r="D639" s="4" t="s">
        <v>12</v>
      </c>
      <c r="E639" s="4" t="s">
        <v>31</v>
      </c>
      <c r="F639" s="4">
        <v>4</v>
      </c>
      <c r="G639" s="4">
        <v>12000</v>
      </c>
      <c r="H639" s="4">
        <v>48000</v>
      </c>
      <c r="I639" s="4">
        <v>37914.81</v>
      </c>
      <c r="J639" s="4">
        <v>10085.19</v>
      </c>
      <c r="K639" s="7" t="s">
        <v>29</v>
      </c>
    </row>
    <row r="640" spans="1:11" x14ac:dyDescent="0.25">
      <c r="A640" s="6">
        <v>1639</v>
      </c>
      <c r="B640" s="5">
        <v>45694</v>
      </c>
      <c r="C640" s="4" t="s">
        <v>11</v>
      </c>
      <c r="D640" s="4" t="s">
        <v>12</v>
      </c>
      <c r="E640" s="4" t="s">
        <v>31</v>
      </c>
      <c r="F640" s="4">
        <v>7</v>
      </c>
      <c r="G640" s="4">
        <v>5000</v>
      </c>
      <c r="H640" s="4">
        <v>35000</v>
      </c>
      <c r="I640" s="4">
        <v>29255.24</v>
      </c>
      <c r="J640" s="4">
        <v>5744.76</v>
      </c>
      <c r="K640" s="7" t="s">
        <v>18</v>
      </c>
    </row>
    <row r="641" spans="1:11" x14ac:dyDescent="0.25">
      <c r="A641" s="6">
        <v>1640</v>
      </c>
      <c r="B641" s="5">
        <v>45685</v>
      </c>
      <c r="C641" s="4" t="s">
        <v>11</v>
      </c>
      <c r="D641" s="4" t="s">
        <v>23</v>
      </c>
      <c r="E641" s="4" t="s">
        <v>26</v>
      </c>
      <c r="F641" s="4">
        <v>6</v>
      </c>
      <c r="G641" s="4">
        <v>150</v>
      </c>
      <c r="H641" s="4">
        <v>900</v>
      </c>
      <c r="I641" s="4">
        <v>522.57000000000005</v>
      </c>
      <c r="J641" s="4">
        <v>377.43</v>
      </c>
      <c r="K641" s="7" t="s">
        <v>27</v>
      </c>
    </row>
    <row r="642" spans="1:11" x14ac:dyDescent="0.25">
      <c r="A642" s="6">
        <v>1641</v>
      </c>
      <c r="B642" s="5">
        <v>45790</v>
      </c>
      <c r="C642" s="4" t="s">
        <v>30</v>
      </c>
      <c r="D642" s="4" t="s">
        <v>12</v>
      </c>
      <c r="E642" s="4" t="s">
        <v>13</v>
      </c>
      <c r="F642" s="4">
        <v>10</v>
      </c>
      <c r="G642" s="4">
        <v>12000</v>
      </c>
      <c r="H642" s="4">
        <v>120000</v>
      </c>
      <c r="I642" s="4">
        <v>75561.119999999995</v>
      </c>
      <c r="J642" s="4">
        <v>44438.879999999997</v>
      </c>
      <c r="K642" s="7" t="s">
        <v>21</v>
      </c>
    </row>
    <row r="643" spans="1:11" x14ac:dyDescent="0.25">
      <c r="A643" s="6">
        <v>1642</v>
      </c>
      <c r="B643" s="5">
        <v>45857</v>
      </c>
      <c r="C643" s="4" t="s">
        <v>15</v>
      </c>
      <c r="D643" s="4" t="s">
        <v>23</v>
      </c>
      <c r="E643" s="4" t="s">
        <v>26</v>
      </c>
      <c r="F643" s="4">
        <v>7</v>
      </c>
      <c r="G643" s="4">
        <v>1200</v>
      </c>
      <c r="H643" s="4">
        <v>8400</v>
      </c>
      <c r="I643" s="4">
        <v>5550.23</v>
      </c>
      <c r="J643" s="4">
        <v>2849.77</v>
      </c>
      <c r="K643" s="7" t="s">
        <v>29</v>
      </c>
    </row>
    <row r="644" spans="1:11" x14ac:dyDescent="0.25">
      <c r="A644" s="6">
        <v>1643</v>
      </c>
      <c r="B644" s="5">
        <v>45957</v>
      </c>
      <c r="C644" s="4" t="s">
        <v>15</v>
      </c>
      <c r="D644" s="4" t="s">
        <v>16</v>
      </c>
      <c r="E644" s="4" t="s">
        <v>17</v>
      </c>
      <c r="F644" s="4">
        <v>10</v>
      </c>
      <c r="G644" s="4">
        <v>150</v>
      </c>
      <c r="H644" s="4">
        <v>1500</v>
      </c>
      <c r="I644" s="4">
        <v>1221.8800000000001</v>
      </c>
      <c r="J644" s="4">
        <v>278.12</v>
      </c>
      <c r="K644" s="7" t="s">
        <v>14</v>
      </c>
    </row>
    <row r="645" spans="1:11" x14ac:dyDescent="0.25">
      <c r="A645" s="6">
        <v>1644</v>
      </c>
      <c r="B645" s="5">
        <v>46009</v>
      </c>
      <c r="C645" s="4" t="s">
        <v>32</v>
      </c>
      <c r="D645" s="4" t="s">
        <v>16</v>
      </c>
      <c r="E645" s="4" t="s">
        <v>22</v>
      </c>
      <c r="F645" s="4">
        <v>9</v>
      </c>
      <c r="G645" s="4">
        <v>150</v>
      </c>
      <c r="H645" s="4">
        <v>1350</v>
      </c>
      <c r="I645" s="4">
        <v>879.45</v>
      </c>
      <c r="J645" s="4">
        <v>470.55</v>
      </c>
      <c r="K645" s="7" t="s">
        <v>29</v>
      </c>
    </row>
    <row r="646" spans="1:11" x14ac:dyDescent="0.25">
      <c r="A646" s="6">
        <v>1645</v>
      </c>
      <c r="B646" s="5">
        <v>45996</v>
      </c>
      <c r="C646" s="4" t="s">
        <v>15</v>
      </c>
      <c r="D646" s="4" t="s">
        <v>16</v>
      </c>
      <c r="E646" s="4" t="s">
        <v>22</v>
      </c>
      <c r="F646" s="4">
        <v>8</v>
      </c>
      <c r="G646" s="4">
        <v>1200</v>
      </c>
      <c r="H646" s="4">
        <v>9600</v>
      </c>
      <c r="I646" s="4">
        <v>6607.58</v>
      </c>
      <c r="J646" s="4">
        <v>2992.42</v>
      </c>
      <c r="K646" s="7" t="s">
        <v>21</v>
      </c>
    </row>
    <row r="647" spans="1:11" x14ac:dyDescent="0.25">
      <c r="A647" s="6">
        <v>1646</v>
      </c>
      <c r="B647" s="5">
        <v>45937</v>
      </c>
      <c r="C647" s="4" t="s">
        <v>32</v>
      </c>
      <c r="D647" s="4" t="s">
        <v>16</v>
      </c>
      <c r="E647" s="4" t="s">
        <v>17</v>
      </c>
      <c r="F647" s="4">
        <v>4</v>
      </c>
      <c r="G647" s="4">
        <v>250</v>
      </c>
      <c r="H647" s="4">
        <v>1000</v>
      </c>
      <c r="I647" s="4">
        <v>811.36</v>
      </c>
      <c r="J647" s="4">
        <v>188.64</v>
      </c>
      <c r="K647" s="7" t="s">
        <v>14</v>
      </c>
    </row>
    <row r="648" spans="1:11" x14ac:dyDescent="0.25">
      <c r="A648" s="6">
        <v>1647</v>
      </c>
      <c r="B648" s="5">
        <v>45942</v>
      </c>
      <c r="C648" s="4" t="s">
        <v>11</v>
      </c>
      <c r="D648" s="4" t="s">
        <v>16</v>
      </c>
      <c r="E648" s="4" t="s">
        <v>22</v>
      </c>
      <c r="F648" s="4">
        <v>6</v>
      </c>
      <c r="G648" s="4">
        <v>150</v>
      </c>
      <c r="H648" s="4">
        <v>900</v>
      </c>
      <c r="I648" s="4">
        <v>669.36</v>
      </c>
      <c r="J648" s="4">
        <v>230.64</v>
      </c>
      <c r="K648" s="7" t="s">
        <v>18</v>
      </c>
    </row>
    <row r="649" spans="1:11" x14ac:dyDescent="0.25">
      <c r="A649" s="6">
        <v>1648</v>
      </c>
      <c r="B649" s="5">
        <v>45938</v>
      </c>
      <c r="C649" s="4" t="s">
        <v>15</v>
      </c>
      <c r="D649" s="4" t="s">
        <v>16</v>
      </c>
      <c r="E649" s="4" t="s">
        <v>20</v>
      </c>
      <c r="F649" s="4">
        <v>10</v>
      </c>
      <c r="G649" s="4">
        <v>2500</v>
      </c>
      <c r="H649" s="4">
        <v>25000</v>
      </c>
      <c r="I649" s="4">
        <v>17198.21</v>
      </c>
      <c r="J649" s="4">
        <v>7801.79</v>
      </c>
      <c r="K649" s="7" t="s">
        <v>27</v>
      </c>
    </row>
    <row r="650" spans="1:11" x14ac:dyDescent="0.25">
      <c r="A650" s="6">
        <v>1649</v>
      </c>
      <c r="B650" s="5">
        <v>45988</v>
      </c>
      <c r="C650" s="4" t="s">
        <v>19</v>
      </c>
      <c r="D650" s="4" t="s">
        <v>16</v>
      </c>
      <c r="E650" s="4" t="s">
        <v>17</v>
      </c>
      <c r="F650" s="4">
        <v>6</v>
      </c>
      <c r="G650" s="4">
        <v>250</v>
      </c>
      <c r="H650" s="4">
        <v>1500</v>
      </c>
      <c r="I650" s="4">
        <v>1041.6400000000001</v>
      </c>
      <c r="J650" s="4">
        <v>458.36</v>
      </c>
      <c r="K650" s="7" t="s">
        <v>28</v>
      </c>
    </row>
    <row r="651" spans="1:11" x14ac:dyDescent="0.25">
      <c r="A651" s="6">
        <v>1650</v>
      </c>
      <c r="B651" s="5">
        <v>45757</v>
      </c>
      <c r="C651" s="4" t="s">
        <v>15</v>
      </c>
      <c r="D651" s="4" t="s">
        <v>16</v>
      </c>
      <c r="E651" s="4" t="s">
        <v>20</v>
      </c>
      <c r="F651" s="4">
        <v>4</v>
      </c>
      <c r="G651" s="4">
        <v>2500</v>
      </c>
      <c r="H651" s="4">
        <v>10000</v>
      </c>
      <c r="I651" s="4">
        <v>8421.6200000000008</v>
      </c>
      <c r="J651" s="4">
        <v>1578.38</v>
      </c>
      <c r="K651" s="7" t="s">
        <v>28</v>
      </c>
    </row>
    <row r="652" spans="1:11" x14ac:dyDescent="0.25">
      <c r="A652" s="6">
        <v>1651</v>
      </c>
      <c r="B652" s="5">
        <v>45939</v>
      </c>
      <c r="C652" s="4" t="s">
        <v>30</v>
      </c>
      <c r="D652" s="4" t="s">
        <v>12</v>
      </c>
      <c r="E652" s="4" t="s">
        <v>31</v>
      </c>
      <c r="F652" s="4">
        <v>1</v>
      </c>
      <c r="G652" s="4">
        <v>12000</v>
      </c>
      <c r="H652" s="4">
        <v>12000</v>
      </c>
      <c r="I652" s="4">
        <v>9754.3799999999992</v>
      </c>
      <c r="J652" s="4">
        <v>2245.62</v>
      </c>
      <c r="K652" s="7" t="s">
        <v>14</v>
      </c>
    </row>
    <row r="653" spans="1:11" x14ac:dyDescent="0.25">
      <c r="A653" s="6">
        <v>1652</v>
      </c>
      <c r="B653" s="5">
        <v>45708</v>
      </c>
      <c r="C653" s="4" t="s">
        <v>11</v>
      </c>
      <c r="D653" s="4" t="s">
        <v>12</v>
      </c>
      <c r="E653" s="4" t="s">
        <v>13</v>
      </c>
      <c r="F653" s="4">
        <v>5</v>
      </c>
      <c r="G653" s="4">
        <v>5000</v>
      </c>
      <c r="H653" s="4">
        <v>25000</v>
      </c>
      <c r="I653" s="4">
        <v>14339.42</v>
      </c>
      <c r="J653" s="4">
        <v>10660.58</v>
      </c>
      <c r="K653" s="7" t="s">
        <v>14</v>
      </c>
    </row>
    <row r="654" spans="1:11" x14ac:dyDescent="0.25">
      <c r="A654" s="6">
        <v>1653</v>
      </c>
      <c r="B654" s="5">
        <v>45993</v>
      </c>
      <c r="C654" s="4" t="s">
        <v>11</v>
      </c>
      <c r="D654" s="4" t="s">
        <v>12</v>
      </c>
      <c r="E654" s="4" t="s">
        <v>33</v>
      </c>
      <c r="F654" s="4">
        <v>6</v>
      </c>
      <c r="G654" s="4">
        <v>500</v>
      </c>
      <c r="H654" s="4">
        <v>3000</v>
      </c>
      <c r="I654" s="4">
        <v>1784.63</v>
      </c>
      <c r="J654" s="4">
        <v>1215.3699999999999</v>
      </c>
      <c r="K654" s="7" t="s">
        <v>18</v>
      </c>
    </row>
    <row r="655" spans="1:11" x14ac:dyDescent="0.25">
      <c r="A655" s="6">
        <v>1654</v>
      </c>
      <c r="B655" s="5">
        <v>45888</v>
      </c>
      <c r="C655" s="4" t="s">
        <v>32</v>
      </c>
      <c r="D655" s="4" t="s">
        <v>23</v>
      </c>
      <c r="E655" s="4" t="s">
        <v>26</v>
      </c>
      <c r="F655" s="4">
        <v>2</v>
      </c>
      <c r="G655" s="4">
        <v>250</v>
      </c>
      <c r="H655" s="4">
        <v>500</v>
      </c>
      <c r="I655" s="4">
        <v>330.61</v>
      </c>
      <c r="J655" s="4">
        <v>169.39</v>
      </c>
      <c r="K655" s="7" t="s">
        <v>29</v>
      </c>
    </row>
    <row r="656" spans="1:11" x14ac:dyDescent="0.25">
      <c r="A656" s="6">
        <v>1655</v>
      </c>
      <c r="B656" s="5">
        <v>45844</v>
      </c>
      <c r="C656" s="4" t="s">
        <v>32</v>
      </c>
      <c r="D656" s="4" t="s">
        <v>12</v>
      </c>
      <c r="E656" s="4" t="s">
        <v>33</v>
      </c>
      <c r="F656" s="4">
        <v>10</v>
      </c>
      <c r="G656" s="4">
        <v>250</v>
      </c>
      <c r="H656" s="4">
        <v>2500</v>
      </c>
      <c r="I656" s="4">
        <v>1869.86</v>
      </c>
      <c r="J656" s="4">
        <v>630.14</v>
      </c>
      <c r="K656" s="7" t="s">
        <v>21</v>
      </c>
    </row>
    <row r="657" spans="1:11" x14ac:dyDescent="0.25">
      <c r="A657" s="6">
        <v>1656</v>
      </c>
      <c r="B657" s="5">
        <v>46022</v>
      </c>
      <c r="C657" s="4" t="s">
        <v>30</v>
      </c>
      <c r="D657" s="4" t="s">
        <v>16</v>
      </c>
      <c r="E657" s="4" t="s">
        <v>20</v>
      </c>
      <c r="F657" s="4">
        <v>6</v>
      </c>
      <c r="G657" s="4">
        <v>250</v>
      </c>
      <c r="H657" s="4">
        <v>1500</v>
      </c>
      <c r="I657" s="4">
        <v>1237.47</v>
      </c>
      <c r="J657" s="4">
        <v>262.52999999999997</v>
      </c>
      <c r="K657" s="7" t="s">
        <v>27</v>
      </c>
    </row>
    <row r="658" spans="1:11" x14ac:dyDescent="0.25">
      <c r="A658" s="6">
        <v>1657</v>
      </c>
      <c r="B658" s="5">
        <v>45841</v>
      </c>
      <c r="C658" s="4" t="s">
        <v>32</v>
      </c>
      <c r="D658" s="4" t="s">
        <v>23</v>
      </c>
      <c r="E658" s="4" t="s">
        <v>25</v>
      </c>
      <c r="F658" s="4">
        <v>6</v>
      </c>
      <c r="G658" s="4">
        <v>1200</v>
      </c>
      <c r="H658" s="4">
        <v>7200</v>
      </c>
      <c r="I658" s="4">
        <v>5126.38</v>
      </c>
      <c r="J658" s="4">
        <v>2073.62</v>
      </c>
      <c r="K658" s="7" t="s">
        <v>21</v>
      </c>
    </row>
    <row r="659" spans="1:11" x14ac:dyDescent="0.25">
      <c r="A659" s="6">
        <v>1658</v>
      </c>
      <c r="B659" s="5">
        <v>45801</v>
      </c>
      <c r="C659" s="4" t="s">
        <v>11</v>
      </c>
      <c r="D659" s="4" t="s">
        <v>12</v>
      </c>
      <c r="E659" s="4" t="s">
        <v>13</v>
      </c>
      <c r="F659" s="4">
        <v>3</v>
      </c>
      <c r="G659" s="4">
        <v>5000</v>
      </c>
      <c r="H659" s="4">
        <v>15000</v>
      </c>
      <c r="I659" s="4">
        <v>11434.8</v>
      </c>
      <c r="J659" s="4">
        <v>3565.2</v>
      </c>
      <c r="K659" s="7" t="s">
        <v>29</v>
      </c>
    </row>
    <row r="660" spans="1:11" x14ac:dyDescent="0.25">
      <c r="A660" s="6">
        <v>1659</v>
      </c>
      <c r="B660" s="5">
        <v>45667</v>
      </c>
      <c r="C660" s="4" t="s">
        <v>19</v>
      </c>
      <c r="D660" s="4" t="s">
        <v>16</v>
      </c>
      <c r="E660" s="4" t="s">
        <v>22</v>
      </c>
      <c r="F660" s="4">
        <v>2</v>
      </c>
      <c r="G660" s="4">
        <v>5000</v>
      </c>
      <c r="H660" s="4">
        <v>10000</v>
      </c>
      <c r="I660" s="4">
        <v>5763.9</v>
      </c>
      <c r="J660" s="4">
        <v>4236.1000000000004</v>
      </c>
      <c r="K660" s="7" t="s">
        <v>14</v>
      </c>
    </row>
    <row r="661" spans="1:11" x14ac:dyDescent="0.25">
      <c r="A661" s="6">
        <v>1660</v>
      </c>
      <c r="B661" s="5">
        <v>45766</v>
      </c>
      <c r="C661" s="4" t="s">
        <v>15</v>
      </c>
      <c r="D661" s="4" t="s">
        <v>16</v>
      </c>
      <c r="E661" s="4" t="s">
        <v>17</v>
      </c>
      <c r="F661" s="4">
        <v>10</v>
      </c>
      <c r="G661" s="4">
        <v>1200</v>
      </c>
      <c r="H661" s="4">
        <v>12000</v>
      </c>
      <c r="I661" s="4">
        <v>9830.64</v>
      </c>
      <c r="J661" s="4">
        <v>2169.36</v>
      </c>
      <c r="K661" s="7" t="s">
        <v>29</v>
      </c>
    </row>
    <row r="662" spans="1:11" x14ac:dyDescent="0.25">
      <c r="A662" s="6">
        <v>1661</v>
      </c>
      <c r="B662" s="5">
        <v>45734</v>
      </c>
      <c r="C662" s="4" t="s">
        <v>32</v>
      </c>
      <c r="D662" s="4" t="s">
        <v>23</v>
      </c>
      <c r="E662" s="4" t="s">
        <v>26</v>
      </c>
      <c r="F662" s="4">
        <v>9</v>
      </c>
      <c r="G662" s="4">
        <v>1200</v>
      </c>
      <c r="H662" s="4">
        <v>10800</v>
      </c>
      <c r="I662" s="4">
        <v>8411.77</v>
      </c>
      <c r="J662" s="4">
        <v>2388.23</v>
      </c>
      <c r="K662" s="7" t="s">
        <v>21</v>
      </c>
    </row>
    <row r="663" spans="1:11" x14ac:dyDescent="0.25">
      <c r="A663" s="6">
        <v>1662</v>
      </c>
      <c r="B663" s="5">
        <v>45919</v>
      </c>
      <c r="C663" s="4" t="s">
        <v>15</v>
      </c>
      <c r="D663" s="4" t="s">
        <v>16</v>
      </c>
      <c r="E663" s="4" t="s">
        <v>17</v>
      </c>
      <c r="F663" s="4">
        <v>5</v>
      </c>
      <c r="G663" s="4">
        <v>250</v>
      </c>
      <c r="H663" s="4">
        <v>1250</v>
      </c>
      <c r="I663" s="4">
        <v>890.81</v>
      </c>
      <c r="J663" s="4">
        <v>359.19</v>
      </c>
      <c r="K663" s="7" t="s">
        <v>21</v>
      </c>
    </row>
    <row r="664" spans="1:11" x14ac:dyDescent="0.25">
      <c r="A664" s="6">
        <v>1663</v>
      </c>
      <c r="B664" s="5">
        <v>45972</v>
      </c>
      <c r="C664" s="4" t="s">
        <v>11</v>
      </c>
      <c r="D664" s="4" t="s">
        <v>23</v>
      </c>
      <c r="E664" s="4" t="s">
        <v>26</v>
      </c>
      <c r="F664" s="4">
        <v>1</v>
      </c>
      <c r="G664" s="4">
        <v>5000</v>
      </c>
      <c r="H664" s="4">
        <v>5000</v>
      </c>
      <c r="I664" s="4">
        <v>3168.04</v>
      </c>
      <c r="J664" s="4">
        <v>1831.96</v>
      </c>
      <c r="K664" s="7" t="s">
        <v>29</v>
      </c>
    </row>
    <row r="665" spans="1:11" x14ac:dyDescent="0.25">
      <c r="A665" s="6">
        <v>1664</v>
      </c>
      <c r="B665" s="5">
        <v>45947</v>
      </c>
      <c r="C665" s="4" t="s">
        <v>11</v>
      </c>
      <c r="D665" s="4" t="s">
        <v>16</v>
      </c>
      <c r="E665" s="4" t="s">
        <v>22</v>
      </c>
      <c r="F665" s="4">
        <v>3</v>
      </c>
      <c r="G665" s="4">
        <v>250</v>
      </c>
      <c r="H665" s="4">
        <v>750</v>
      </c>
      <c r="I665" s="4">
        <v>561.16999999999996</v>
      </c>
      <c r="J665" s="4">
        <v>188.83</v>
      </c>
      <c r="K665" s="7" t="s">
        <v>14</v>
      </c>
    </row>
    <row r="666" spans="1:11" x14ac:dyDescent="0.25">
      <c r="A666" s="6">
        <v>1665</v>
      </c>
      <c r="B666" s="5">
        <v>45907</v>
      </c>
      <c r="C666" s="4" t="s">
        <v>11</v>
      </c>
      <c r="D666" s="4" t="s">
        <v>12</v>
      </c>
      <c r="E666" s="4" t="s">
        <v>33</v>
      </c>
      <c r="F666" s="4">
        <v>6</v>
      </c>
      <c r="G666" s="4">
        <v>150</v>
      </c>
      <c r="H666" s="4">
        <v>900</v>
      </c>
      <c r="I666" s="4">
        <v>563.92999999999995</v>
      </c>
      <c r="J666" s="4">
        <v>336.07</v>
      </c>
      <c r="K666" s="7" t="s">
        <v>18</v>
      </c>
    </row>
    <row r="667" spans="1:11" x14ac:dyDescent="0.25">
      <c r="A667" s="6">
        <v>1666</v>
      </c>
      <c r="B667" s="5">
        <v>45923</v>
      </c>
      <c r="C667" s="4" t="s">
        <v>32</v>
      </c>
      <c r="D667" s="4" t="s">
        <v>23</v>
      </c>
      <c r="E667" s="4" t="s">
        <v>24</v>
      </c>
      <c r="F667" s="4">
        <v>4</v>
      </c>
      <c r="G667" s="4">
        <v>150</v>
      </c>
      <c r="H667" s="4">
        <v>600</v>
      </c>
      <c r="I667" s="4">
        <v>470.4</v>
      </c>
      <c r="J667" s="4">
        <v>129.6</v>
      </c>
      <c r="K667" s="7" t="s">
        <v>21</v>
      </c>
    </row>
    <row r="668" spans="1:11" x14ac:dyDescent="0.25">
      <c r="A668" s="6">
        <v>1667</v>
      </c>
      <c r="B668" s="5">
        <v>45823</v>
      </c>
      <c r="C668" s="4" t="s">
        <v>15</v>
      </c>
      <c r="D668" s="4" t="s">
        <v>23</v>
      </c>
      <c r="E668" s="4" t="s">
        <v>24</v>
      </c>
      <c r="F668" s="4">
        <v>1</v>
      </c>
      <c r="G668" s="4">
        <v>150</v>
      </c>
      <c r="H668" s="4">
        <v>150</v>
      </c>
      <c r="I668" s="4">
        <v>133.97999999999999</v>
      </c>
      <c r="J668" s="4">
        <v>16.02</v>
      </c>
      <c r="K668" s="7" t="s">
        <v>14</v>
      </c>
    </row>
    <row r="669" spans="1:11" x14ac:dyDescent="0.25">
      <c r="A669" s="6">
        <v>1668</v>
      </c>
      <c r="B669" s="5">
        <v>45954</v>
      </c>
      <c r="C669" s="4" t="s">
        <v>19</v>
      </c>
      <c r="D669" s="4" t="s">
        <v>12</v>
      </c>
      <c r="E669" s="4" t="s">
        <v>31</v>
      </c>
      <c r="F669" s="4">
        <v>5</v>
      </c>
      <c r="G669" s="4">
        <v>12000</v>
      </c>
      <c r="H669" s="4">
        <v>60000</v>
      </c>
      <c r="I669" s="4">
        <v>48580.1</v>
      </c>
      <c r="J669" s="4">
        <v>11419.9</v>
      </c>
      <c r="K669" s="7" t="s">
        <v>29</v>
      </c>
    </row>
    <row r="670" spans="1:11" x14ac:dyDescent="0.25">
      <c r="A670" s="6">
        <v>1669</v>
      </c>
      <c r="B670" s="5">
        <v>45697</v>
      </c>
      <c r="C670" s="4" t="s">
        <v>19</v>
      </c>
      <c r="D670" s="4" t="s">
        <v>16</v>
      </c>
      <c r="E670" s="4" t="s">
        <v>22</v>
      </c>
      <c r="F670" s="4">
        <v>7</v>
      </c>
      <c r="G670" s="4">
        <v>500</v>
      </c>
      <c r="H670" s="4">
        <v>3500</v>
      </c>
      <c r="I670" s="4">
        <v>2644.91</v>
      </c>
      <c r="J670" s="4">
        <v>855.09</v>
      </c>
      <c r="K670" s="7" t="s">
        <v>27</v>
      </c>
    </row>
    <row r="671" spans="1:11" x14ac:dyDescent="0.25">
      <c r="A671" s="6">
        <v>1670</v>
      </c>
      <c r="B671" s="5">
        <v>45834</v>
      </c>
      <c r="C671" s="4" t="s">
        <v>30</v>
      </c>
      <c r="D671" s="4" t="s">
        <v>23</v>
      </c>
      <c r="E671" s="4" t="s">
        <v>25</v>
      </c>
      <c r="F671" s="4">
        <v>9</v>
      </c>
      <c r="G671" s="4">
        <v>1200</v>
      </c>
      <c r="H671" s="4">
        <v>10800</v>
      </c>
      <c r="I671" s="4">
        <v>7273.95</v>
      </c>
      <c r="J671" s="4">
        <v>3526.05</v>
      </c>
      <c r="K671" s="7" t="s">
        <v>21</v>
      </c>
    </row>
    <row r="672" spans="1:11" x14ac:dyDescent="0.25">
      <c r="A672" s="6">
        <v>1671</v>
      </c>
      <c r="B672" s="5">
        <v>45775</v>
      </c>
      <c r="C672" s="4" t="s">
        <v>15</v>
      </c>
      <c r="D672" s="4" t="s">
        <v>12</v>
      </c>
      <c r="E672" s="4" t="s">
        <v>13</v>
      </c>
      <c r="F672" s="4">
        <v>9</v>
      </c>
      <c r="G672" s="4">
        <v>250</v>
      </c>
      <c r="H672" s="4">
        <v>2250</v>
      </c>
      <c r="I672" s="4">
        <v>1583.92</v>
      </c>
      <c r="J672" s="4">
        <v>666.08</v>
      </c>
      <c r="K672" s="7" t="s">
        <v>29</v>
      </c>
    </row>
    <row r="673" spans="1:11" x14ac:dyDescent="0.25">
      <c r="A673" s="6">
        <v>1672</v>
      </c>
      <c r="B673" s="5">
        <v>45843</v>
      </c>
      <c r="C673" s="4" t="s">
        <v>19</v>
      </c>
      <c r="D673" s="4" t="s">
        <v>12</v>
      </c>
      <c r="E673" s="4" t="s">
        <v>33</v>
      </c>
      <c r="F673" s="4">
        <v>4</v>
      </c>
      <c r="G673" s="4">
        <v>250</v>
      </c>
      <c r="H673" s="4">
        <v>1000</v>
      </c>
      <c r="I673" s="4">
        <v>615.41999999999996</v>
      </c>
      <c r="J673" s="4">
        <v>384.58</v>
      </c>
      <c r="K673" s="7" t="s">
        <v>14</v>
      </c>
    </row>
    <row r="674" spans="1:11" x14ac:dyDescent="0.25">
      <c r="A674" s="6">
        <v>1673</v>
      </c>
      <c r="B674" s="5">
        <v>45716</v>
      </c>
      <c r="C674" s="4" t="s">
        <v>30</v>
      </c>
      <c r="D674" s="4" t="s">
        <v>16</v>
      </c>
      <c r="E674" s="4" t="s">
        <v>17</v>
      </c>
      <c r="F674" s="4">
        <v>4</v>
      </c>
      <c r="G674" s="4">
        <v>1200</v>
      </c>
      <c r="H674" s="4">
        <v>4800</v>
      </c>
      <c r="I674" s="4">
        <v>4002.77</v>
      </c>
      <c r="J674" s="4">
        <v>797.23</v>
      </c>
      <c r="K674" s="7" t="s">
        <v>14</v>
      </c>
    </row>
    <row r="675" spans="1:11" x14ac:dyDescent="0.25">
      <c r="A675" s="6">
        <v>1674</v>
      </c>
      <c r="B675" s="5">
        <v>45868</v>
      </c>
      <c r="C675" s="4" t="s">
        <v>15</v>
      </c>
      <c r="D675" s="4" t="s">
        <v>23</v>
      </c>
      <c r="E675" s="4" t="s">
        <v>24</v>
      </c>
      <c r="F675" s="4">
        <v>4</v>
      </c>
      <c r="G675" s="4">
        <v>2500</v>
      </c>
      <c r="H675" s="4">
        <v>10000</v>
      </c>
      <c r="I675" s="4">
        <v>6064.36</v>
      </c>
      <c r="J675" s="4">
        <v>3935.64</v>
      </c>
      <c r="K675" s="7" t="s">
        <v>28</v>
      </c>
    </row>
    <row r="676" spans="1:11" x14ac:dyDescent="0.25">
      <c r="A676" s="6">
        <v>1675</v>
      </c>
      <c r="B676" s="5">
        <v>45980</v>
      </c>
      <c r="C676" s="4" t="s">
        <v>19</v>
      </c>
      <c r="D676" s="4" t="s">
        <v>16</v>
      </c>
      <c r="E676" s="4" t="s">
        <v>20</v>
      </c>
      <c r="F676" s="4">
        <v>10</v>
      </c>
      <c r="G676" s="4">
        <v>2500</v>
      </c>
      <c r="H676" s="4">
        <v>25000</v>
      </c>
      <c r="I676" s="4">
        <v>15159.88</v>
      </c>
      <c r="J676" s="4">
        <v>9840.1200000000008</v>
      </c>
      <c r="K676" s="7" t="s">
        <v>18</v>
      </c>
    </row>
    <row r="677" spans="1:11" x14ac:dyDescent="0.25">
      <c r="A677" s="6">
        <v>1676</v>
      </c>
      <c r="B677" s="5">
        <v>45750</v>
      </c>
      <c r="C677" s="4" t="s">
        <v>19</v>
      </c>
      <c r="D677" s="4" t="s">
        <v>12</v>
      </c>
      <c r="E677" s="4" t="s">
        <v>13</v>
      </c>
      <c r="F677" s="4">
        <v>1</v>
      </c>
      <c r="G677" s="4">
        <v>250</v>
      </c>
      <c r="H677" s="4">
        <v>250</v>
      </c>
      <c r="I677" s="4">
        <v>160.1</v>
      </c>
      <c r="J677" s="4">
        <v>89.9</v>
      </c>
      <c r="K677" s="7" t="s">
        <v>21</v>
      </c>
    </row>
    <row r="678" spans="1:11" x14ac:dyDescent="0.25">
      <c r="A678" s="6">
        <v>1677</v>
      </c>
      <c r="B678" s="5">
        <v>45803</v>
      </c>
      <c r="C678" s="4" t="s">
        <v>15</v>
      </c>
      <c r="D678" s="4" t="s">
        <v>12</v>
      </c>
      <c r="E678" s="4" t="s">
        <v>31</v>
      </c>
      <c r="F678" s="4">
        <v>1</v>
      </c>
      <c r="G678" s="4">
        <v>5000</v>
      </c>
      <c r="H678" s="4">
        <v>5000</v>
      </c>
      <c r="I678" s="4">
        <v>4023.96</v>
      </c>
      <c r="J678" s="4">
        <v>976.04</v>
      </c>
      <c r="K678" s="7" t="s">
        <v>28</v>
      </c>
    </row>
    <row r="679" spans="1:11" x14ac:dyDescent="0.25">
      <c r="A679" s="6">
        <v>1678</v>
      </c>
      <c r="B679" s="5">
        <v>45770</v>
      </c>
      <c r="C679" s="4" t="s">
        <v>30</v>
      </c>
      <c r="D679" s="4" t="s">
        <v>23</v>
      </c>
      <c r="E679" s="4" t="s">
        <v>26</v>
      </c>
      <c r="F679" s="4">
        <v>8</v>
      </c>
      <c r="G679" s="4">
        <v>12000</v>
      </c>
      <c r="H679" s="4">
        <v>96000</v>
      </c>
      <c r="I679" s="4">
        <v>68984.06</v>
      </c>
      <c r="J679" s="4">
        <v>27015.94</v>
      </c>
      <c r="K679" s="7" t="s">
        <v>29</v>
      </c>
    </row>
    <row r="680" spans="1:11" x14ac:dyDescent="0.25">
      <c r="A680" s="6">
        <v>1679</v>
      </c>
      <c r="B680" s="5">
        <v>45793</v>
      </c>
      <c r="C680" s="4" t="s">
        <v>11</v>
      </c>
      <c r="D680" s="4" t="s">
        <v>16</v>
      </c>
      <c r="E680" s="4" t="s">
        <v>17</v>
      </c>
      <c r="F680" s="4">
        <v>3</v>
      </c>
      <c r="G680" s="4">
        <v>2500</v>
      </c>
      <c r="H680" s="4">
        <v>7500</v>
      </c>
      <c r="I680" s="4">
        <v>5856.58</v>
      </c>
      <c r="J680" s="4">
        <v>1643.42</v>
      </c>
      <c r="K680" s="7" t="s">
        <v>14</v>
      </c>
    </row>
    <row r="681" spans="1:11" x14ac:dyDescent="0.25">
      <c r="A681" s="6">
        <v>1680</v>
      </c>
      <c r="B681" s="5">
        <v>45775</v>
      </c>
      <c r="C681" s="4" t="s">
        <v>30</v>
      </c>
      <c r="D681" s="4" t="s">
        <v>12</v>
      </c>
      <c r="E681" s="4" t="s">
        <v>33</v>
      </c>
      <c r="F681" s="4">
        <v>8</v>
      </c>
      <c r="G681" s="4">
        <v>2500</v>
      </c>
      <c r="H681" s="4">
        <v>20000</v>
      </c>
      <c r="I681" s="4">
        <v>15134.17</v>
      </c>
      <c r="J681" s="4">
        <v>4865.83</v>
      </c>
      <c r="K681" s="7" t="s">
        <v>21</v>
      </c>
    </row>
    <row r="682" spans="1:11" x14ac:dyDescent="0.25">
      <c r="A682" s="6">
        <v>1681</v>
      </c>
      <c r="B682" s="5">
        <v>45916</v>
      </c>
      <c r="C682" s="4" t="s">
        <v>30</v>
      </c>
      <c r="D682" s="4" t="s">
        <v>16</v>
      </c>
      <c r="E682" s="4" t="s">
        <v>20</v>
      </c>
      <c r="F682" s="4">
        <v>1</v>
      </c>
      <c r="G682" s="4">
        <v>250</v>
      </c>
      <c r="H682" s="4">
        <v>250</v>
      </c>
      <c r="I682" s="4">
        <v>183.24</v>
      </c>
      <c r="J682" s="4">
        <v>66.760000000000005</v>
      </c>
      <c r="K682" s="7" t="s">
        <v>28</v>
      </c>
    </row>
    <row r="683" spans="1:11" x14ac:dyDescent="0.25">
      <c r="A683" s="6">
        <v>1682</v>
      </c>
      <c r="B683" s="5">
        <v>45965</v>
      </c>
      <c r="C683" s="4" t="s">
        <v>15</v>
      </c>
      <c r="D683" s="4" t="s">
        <v>12</v>
      </c>
      <c r="E683" s="4" t="s">
        <v>13</v>
      </c>
      <c r="F683" s="4">
        <v>3</v>
      </c>
      <c r="G683" s="4">
        <v>1200</v>
      </c>
      <c r="H683" s="4">
        <v>3600</v>
      </c>
      <c r="I683" s="4">
        <v>3116.03</v>
      </c>
      <c r="J683" s="4">
        <v>483.97</v>
      </c>
      <c r="K683" s="7" t="s">
        <v>29</v>
      </c>
    </row>
    <row r="684" spans="1:11" x14ac:dyDescent="0.25">
      <c r="A684" s="6">
        <v>1683</v>
      </c>
      <c r="B684" s="5">
        <v>45966</v>
      </c>
      <c r="C684" s="4" t="s">
        <v>19</v>
      </c>
      <c r="D684" s="4" t="s">
        <v>12</v>
      </c>
      <c r="E684" s="4" t="s">
        <v>13</v>
      </c>
      <c r="F684" s="4">
        <v>2</v>
      </c>
      <c r="G684" s="4">
        <v>1200</v>
      </c>
      <c r="H684" s="4">
        <v>2400</v>
      </c>
      <c r="I684" s="4">
        <v>1873.89</v>
      </c>
      <c r="J684" s="4">
        <v>526.11</v>
      </c>
      <c r="K684" s="7" t="s">
        <v>18</v>
      </c>
    </row>
    <row r="685" spans="1:11" x14ac:dyDescent="0.25">
      <c r="A685" s="6">
        <v>1684</v>
      </c>
      <c r="B685" s="5">
        <v>45680</v>
      </c>
      <c r="C685" s="4" t="s">
        <v>19</v>
      </c>
      <c r="D685" s="4" t="s">
        <v>12</v>
      </c>
      <c r="E685" s="4" t="s">
        <v>31</v>
      </c>
      <c r="F685" s="4">
        <v>7</v>
      </c>
      <c r="G685" s="4">
        <v>2500</v>
      </c>
      <c r="H685" s="4">
        <v>17500</v>
      </c>
      <c r="I685" s="4">
        <v>12201.69</v>
      </c>
      <c r="J685" s="4">
        <v>5298.31</v>
      </c>
      <c r="K685" s="7" t="s">
        <v>21</v>
      </c>
    </row>
    <row r="686" spans="1:11" x14ac:dyDescent="0.25">
      <c r="A686" s="6">
        <v>1685</v>
      </c>
      <c r="B686" s="5">
        <v>46014</v>
      </c>
      <c r="C686" s="4" t="s">
        <v>19</v>
      </c>
      <c r="D686" s="4" t="s">
        <v>16</v>
      </c>
      <c r="E686" s="4" t="s">
        <v>22</v>
      </c>
      <c r="F686" s="4">
        <v>7</v>
      </c>
      <c r="G686" s="4">
        <v>500</v>
      </c>
      <c r="H686" s="4">
        <v>3500</v>
      </c>
      <c r="I686" s="4">
        <v>2646.58</v>
      </c>
      <c r="J686" s="4">
        <v>853.42</v>
      </c>
      <c r="K686" s="7" t="s">
        <v>18</v>
      </c>
    </row>
    <row r="687" spans="1:11" x14ac:dyDescent="0.25">
      <c r="A687" s="6">
        <v>1686</v>
      </c>
      <c r="B687" s="5">
        <v>45700</v>
      </c>
      <c r="C687" s="4" t="s">
        <v>32</v>
      </c>
      <c r="D687" s="4" t="s">
        <v>23</v>
      </c>
      <c r="E687" s="4" t="s">
        <v>25</v>
      </c>
      <c r="F687" s="4">
        <v>5</v>
      </c>
      <c r="G687" s="4">
        <v>1200</v>
      </c>
      <c r="H687" s="4">
        <v>6000</v>
      </c>
      <c r="I687" s="4">
        <v>4908.3</v>
      </c>
      <c r="J687" s="4">
        <v>1091.7</v>
      </c>
      <c r="K687" s="7" t="s">
        <v>29</v>
      </c>
    </row>
    <row r="688" spans="1:11" x14ac:dyDescent="0.25">
      <c r="A688" s="6">
        <v>1687</v>
      </c>
      <c r="B688" s="5">
        <v>45661</v>
      </c>
      <c r="C688" s="4" t="s">
        <v>19</v>
      </c>
      <c r="D688" s="4" t="s">
        <v>12</v>
      </c>
      <c r="E688" s="4" t="s">
        <v>33</v>
      </c>
      <c r="F688" s="4">
        <v>5</v>
      </c>
      <c r="G688" s="4">
        <v>250</v>
      </c>
      <c r="H688" s="4">
        <v>1250</v>
      </c>
      <c r="I688" s="4">
        <v>689.89</v>
      </c>
      <c r="J688" s="4">
        <v>560.11</v>
      </c>
      <c r="K688" s="7" t="s">
        <v>29</v>
      </c>
    </row>
    <row r="689" spans="1:11" x14ac:dyDescent="0.25">
      <c r="A689" s="6">
        <v>1688</v>
      </c>
      <c r="B689" s="5">
        <v>46010</v>
      </c>
      <c r="C689" s="4" t="s">
        <v>32</v>
      </c>
      <c r="D689" s="4" t="s">
        <v>16</v>
      </c>
      <c r="E689" s="4" t="s">
        <v>17</v>
      </c>
      <c r="F689" s="4">
        <v>1</v>
      </c>
      <c r="G689" s="4">
        <v>1200</v>
      </c>
      <c r="H689" s="4">
        <v>1200</v>
      </c>
      <c r="I689" s="4">
        <v>934.91</v>
      </c>
      <c r="J689" s="4">
        <v>265.08999999999997</v>
      </c>
      <c r="K689" s="7" t="s">
        <v>21</v>
      </c>
    </row>
    <row r="690" spans="1:11" x14ac:dyDescent="0.25">
      <c r="A690" s="6">
        <v>1689</v>
      </c>
      <c r="B690" s="5">
        <v>45787</v>
      </c>
      <c r="C690" s="4" t="s">
        <v>32</v>
      </c>
      <c r="D690" s="4" t="s">
        <v>23</v>
      </c>
      <c r="E690" s="4" t="s">
        <v>25</v>
      </c>
      <c r="F690" s="4">
        <v>3</v>
      </c>
      <c r="G690" s="4">
        <v>1200</v>
      </c>
      <c r="H690" s="4">
        <v>3600</v>
      </c>
      <c r="I690" s="4">
        <v>2800.99</v>
      </c>
      <c r="J690" s="4">
        <v>799.01</v>
      </c>
      <c r="K690" s="7" t="s">
        <v>29</v>
      </c>
    </row>
    <row r="691" spans="1:11" x14ac:dyDescent="0.25">
      <c r="A691" s="6">
        <v>1690</v>
      </c>
      <c r="B691" s="5">
        <v>46006</v>
      </c>
      <c r="C691" s="4" t="s">
        <v>30</v>
      </c>
      <c r="D691" s="4" t="s">
        <v>23</v>
      </c>
      <c r="E691" s="4" t="s">
        <v>26</v>
      </c>
      <c r="F691" s="4">
        <v>6</v>
      </c>
      <c r="G691" s="4">
        <v>2500</v>
      </c>
      <c r="H691" s="4">
        <v>15000</v>
      </c>
      <c r="I691" s="4">
        <v>9696.69</v>
      </c>
      <c r="J691" s="4">
        <v>5303.31</v>
      </c>
      <c r="K691" s="7" t="s">
        <v>28</v>
      </c>
    </row>
    <row r="692" spans="1:11" x14ac:dyDescent="0.25">
      <c r="A692" s="6">
        <v>1691</v>
      </c>
      <c r="B692" s="5">
        <v>45944</v>
      </c>
      <c r="C692" s="4" t="s">
        <v>19</v>
      </c>
      <c r="D692" s="4" t="s">
        <v>23</v>
      </c>
      <c r="E692" s="4" t="s">
        <v>26</v>
      </c>
      <c r="F692" s="4">
        <v>9</v>
      </c>
      <c r="G692" s="4">
        <v>1200</v>
      </c>
      <c r="H692" s="4">
        <v>10800</v>
      </c>
      <c r="I692" s="4">
        <v>6615.56</v>
      </c>
      <c r="J692" s="4">
        <v>4184.4399999999996</v>
      </c>
      <c r="K692" s="7" t="s">
        <v>21</v>
      </c>
    </row>
    <row r="693" spans="1:11" x14ac:dyDescent="0.25">
      <c r="A693" s="6">
        <v>1692</v>
      </c>
      <c r="B693" s="5">
        <v>45861</v>
      </c>
      <c r="C693" s="4" t="s">
        <v>11</v>
      </c>
      <c r="D693" s="4" t="s">
        <v>23</v>
      </c>
      <c r="E693" s="4" t="s">
        <v>24</v>
      </c>
      <c r="F693" s="4">
        <v>10</v>
      </c>
      <c r="G693" s="4">
        <v>500</v>
      </c>
      <c r="H693" s="4">
        <v>5000</v>
      </c>
      <c r="I693" s="4">
        <v>4104.84</v>
      </c>
      <c r="J693" s="4">
        <v>895.16</v>
      </c>
      <c r="K693" s="7" t="s">
        <v>14</v>
      </c>
    </row>
    <row r="694" spans="1:11" x14ac:dyDescent="0.25">
      <c r="A694" s="6">
        <v>1693</v>
      </c>
      <c r="B694" s="5">
        <v>45740</v>
      </c>
      <c r="C694" s="4" t="s">
        <v>15</v>
      </c>
      <c r="D694" s="4" t="s">
        <v>16</v>
      </c>
      <c r="E694" s="4" t="s">
        <v>17</v>
      </c>
      <c r="F694" s="4">
        <v>4</v>
      </c>
      <c r="G694" s="4">
        <v>1200</v>
      </c>
      <c r="H694" s="4">
        <v>4800</v>
      </c>
      <c r="I694" s="4">
        <v>3955.62</v>
      </c>
      <c r="J694" s="4">
        <v>844.38</v>
      </c>
      <c r="K694" s="7" t="s">
        <v>28</v>
      </c>
    </row>
    <row r="695" spans="1:11" x14ac:dyDescent="0.25">
      <c r="A695" s="6">
        <v>1694</v>
      </c>
      <c r="B695" s="5">
        <v>46014</v>
      </c>
      <c r="C695" s="4" t="s">
        <v>15</v>
      </c>
      <c r="D695" s="4" t="s">
        <v>12</v>
      </c>
      <c r="E695" s="4" t="s">
        <v>33</v>
      </c>
      <c r="F695" s="4">
        <v>6</v>
      </c>
      <c r="G695" s="4">
        <v>12000</v>
      </c>
      <c r="H695" s="4">
        <v>72000</v>
      </c>
      <c r="I695" s="4">
        <v>53474.52</v>
      </c>
      <c r="J695" s="4">
        <v>18525.48</v>
      </c>
      <c r="K695" s="7" t="s">
        <v>28</v>
      </c>
    </row>
    <row r="696" spans="1:11" x14ac:dyDescent="0.25">
      <c r="A696" s="6">
        <v>1695</v>
      </c>
      <c r="B696" s="5">
        <v>45732</v>
      </c>
      <c r="C696" s="4" t="s">
        <v>30</v>
      </c>
      <c r="D696" s="4" t="s">
        <v>23</v>
      </c>
      <c r="E696" s="4" t="s">
        <v>26</v>
      </c>
      <c r="F696" s="4">
        <v>1</v>
      </c>
      <c r="G696" s="4">
        <v>12000</v>
      </c>
      <c r="H696" s="4">
        <v>12000</v>
      </c>
      <c r="I696" s="4">
        <v>6982.57</v>
      </c>
      <c r="J696" s="4">
        <v>5017.43</v>
      </c>
      <c r="K696" s="7" t="s">
        <v>29</v>
      </c>
    </row>
    <row r="697" spans="1:11" x14ac:dyDescent="0.25">
      <c r="A697" s="6">
        <v>1696</v>
      </c>
      <c r="B697" s="5">
        <v>45698</v>
      </c>
      <c r="C697" s="4" t="s">
        <v>19</v>
      </c>
      <c r="D697" s="4" t="s">
        <v>23</v>
      </c>
      <c r="E697" s="4" t="s">
        <v>25</v>
      </c>
      <c r="F697" s="4">
        <v>2</v>
      </c>
      <c r="G697" s="4">
        <v>500</v>
      </c>
      <c r="H697" s="4">
        <v>1000</v>
      </c>
      <c r="I697" s="4">
        <v>627.62</v>
      </c>
      <c r="J697" s="4">
        <v>372.38</v>
      </c>
      <c r="K697" s="7" t="s">
        <v>18</v>
      </c>
    </row>
    <row r="698" spans="1:11" x14ac:dyDescent="0.25">
      <c r="A698" s="6">
        <v>1697</v>
      </c>
      <c r="B698" s="5">
        <v>45804</v>
      </c>
      <c r="C698" s="4" t="s">
        <v>19</v>
      </c>
      <c r="D698" s="4" t="s">
        <v>12</v>
      </c>
      <c r="E698" s="4" t="s">
        <v>33</v>
      </c>
      <c r="F698" s="4">
        <v>7</v>
      </c>
      <c r="G698" s="4">
        <v>2500</v>
      </c>
      <c r="H698" s="4">
        <v>17500</v>
      </c>
      <c r="I698" s="4">
        <v>13644.07</v>
      </c>
      <c r="J698" s="4">
        <v>3855.93</v>
      </c>
      <c r="K698" s="7" t="s">
        <v>18</v>
      </c>
    </row>
    <row r="699" spans="1:11" x14ac:dyDescent="0.25">
      <c r="A699" s="6">
        <v>1698</v>
      </c>
      <c r="B699" s="5">
        <v>45994</v>
      </c>
      <c r="C699" s="4" t="s">
        <v>19</v>
      </c>
      <c r="D699" s="4" t="s">
        <v>16</v>
      </c>
      <c r="E699" s="4" t="s">
        <v>17</v>
      </c>
      <c r="F699" s="4">
        <v>8</v>
      </c>
      <c r="G699" s="4">
        <v>1200</v>
      </c>
      <c r="H699" s="4">
        <v>9600</v>
      </c>
      <c r="I699" s="4">
        <v>5315.99</v>
      </c>
      <c r="J699" s="4">
        <v>4284.01</v>
      </c>
      <c r="K699" s="7" t="s">
        <v>27</v>
      </c>
    </row>
    <row r="700" spans="1:11" x14ac:dyDescent="0.25">
      <c r="A700" s="6">
        <v>1699</v>
      </c>
      <c r="B700" s="5">
        <v>45776</v>
      </c>
      <c r="C700" s="4" t="s">
        <v>19</v>
      </c>
      <c r="D700" s="4" t="s">
        <v>16</v>
      </c>
      <c r="E700" s="4" t="s">
        <v>20</v>
      </c>
      <c r="F700" s="4">
        <v>10</v>
      </c>
      <c r="G700" s="4">
        <v>2500</v>
      </c>
      <c r="H700" s="4">
        <v>25000</v>
      </c>
      <c r="I700" s="4">
        <v>18263.37</v>
      </c>
      <c r="J700" s="4">
        <v>6736.63</v>
      </c>
      <c r="K700" s="7" t="s">
        <v>28</v>
      </c>
    </row>
    <row r="701" spans="1:11" x14ac:dyDescent="0.25">
      <c r="A701" s="6">
        <v>1700</v>
      </c>
      <c r="B701" s="5">
        <v>45738</v>
      </c>
      <c r="C701" s="4" t="s">
        <v>15</v>
      </c>
      <c r="D701" s="4" t="s">
        <v>12</v>
      </c>
      <c r="E701" s="4" t="s">
        <v>13</v>
      </c>
      <c r="F701" s="4">
        <v>6</v>
      </c>
      <c r="G701" s="4">
        <v>250</v>
      </c>
      <c r="H701" s="4">
        <v>1500</v>
      </c>
      <c r="I701" s="4">
        <v>1168.8900000000001</v>
      </c>
      <c r="J701" s="4">
        <v>331.11</v>
      </c>
      <c r="K701" s="7" t="s">
        <v>27</v>
      </c>
    </row>
    <row r="702" spans="1:11" x14ac:dyDescent="0.25">
      <c r="A702" s="6">
        <v>1701</v>
      </c>
      <c r="B702" s="5">
        <v>45923</v>
      </c>
      <c r="C702" s="4" t="s">
        <v>15</v>
      </c>
      <c r="D702" s="4" t="s">
        <v>23</v>
      </c>
      <c r="E702" s="4" t="s">
        <v>24</v>
      </c>
      <c r="F702" s="4">
        <v>7</v>
      </c>
      <c r="G702" s="4">
        <v>1200</v>
      </c>
      <c r="H702" s="4">
        <v>8400</v>
      </c>
      <c r="I702" s="4">
        <v>6343.08</v>
      </c>
      <c r="J702" s="4">
        <v>2056.92</v>
      </c>
      <c r="K702" s="7" t="s">
        <v>14</v>
      </c>
    </row>
    <row r="703" spans="1:11" x14ac:dyDescent="0.25">
      <c r="A703" s="6">
        <v>1702</v>
      </c>
      <c r="B703" s="5">
        <v>45944</v>
      </c>
      <c r="C703" s="4" t="s">
        <v>19</v>
      </c>
      <c r="D703" s="4" t="s">
        <v>12</v>
      </c>
      <c r="E703" s="4" t="s">
        <v>13</v>
      </c>
      <c r="F703" s="4">
        <v>2</v>
      </c>
      <c r="G703" s="4">
        <v>2500</v>
      </c>
      <c r="H703" s="4">
        <v>5000</v>
      </c>
      <c r="I703" s="4">
        <v>3247.86</v>
      </c>
      <c r="J703" s="4">
        <v>1752.14</v>
      </c>
      <c r="K703" s="7" t="s">
        <v>27</v>
      </c>
    </row>
    <row r="704" spans="1:11" x14ac:dyDescent="0.25">
      <c r="A704" s="6">
        <v>1703</v>
      </c>
      <c r="B704" s="5">
        <v>45890</v>
      </c>
      <c r="C704" s="4" t="s">
        <v>30</v>
      </c>
      <c r="D704" s="4" t="s">
        <v>23</v>
      </c>
      <c r="E704" s="4" t="s">
        <v>24</v>
      </c>
      <c r="F704" s="4">
        <v>4</v>
      </c>
      <c r="G704" s="4">
        <v>2500</v>
      </c>
      <c r="H704" s="4">
        <v>10000</v>
      </c>
      <c r="I704" s="4">
        <v>8870.7000000000007</v>
      </c>
      <c r="J704" s="4">
        <v>1129.3</v>
      </c>
      <c r="K704" s="7" t="s">
        <v>29</v>
      </c>
    </row>
    <row r="705" spans="1:11" x14ac:dyDescent="0.25">
      <c r="A705" s="6">
        <v>1704</v>
      </c>
      <c r="B705" s="5">
        <v>45944</v>
      </c>
      <c r="C705" s="4" t="s">
        <v>15</v>
      </c>
      <c r="D705" s="4" t="s">
        <v>16</v>
      </c>
      <c r="E705" s="4" t="s">
        <v>22</v>
      </c>
      <c r="F705" s="4">
        <v>3</v>
      </c>
      <c r="G705" s="4">
        <v>1200</v>
      </c>
      <c r="H705" s="4">
        <v>3600</v>
      </c>
      <c r="I705" s="4">
        <v>2617.86</v>
      </c>
      <c r="J705" s="4">
        <v>982.14</v>
      </c>
      <c r="K705" s="7" t="s">
        <v>29</v>
      </c>
    </row>
    <row r="706" spans="1:11" x14ac:dyDescent="0.25">
      <c r="A706" s="6">
        <v>1705</v>
      </c>
      <c r="B706" s="5">
        <v>45789</v>
      </c>
      <c r="C706" s="4" t="s">
        <v>19</v>
      </c>
      <c r="D706" s="4" t="s">
        <v>23</v>
      </c>
      <c r="E706" s="4" t="s">
        <v>24</v>
      </c>
      <c r="F706" s="4">
        <v>2</v>
      </c>
      <c r="G706" s="4">
        <v>12000</v>
      </c>
      <c r="H706" s="4">
        <v>24000</v>
      </c>
      <c r="I706" s="4">
        <v>17511.61</v>
      </c>
      <c r="J706" s="4">
        <v>6488.39</v>
      </c>
      <c r="K706" s="7" t="s">
        <v>29</v>
      </c>
    </row>
    <row r="707" spans="1:11" x14ac:dyDescent="0.25">
      <c r="A707" s="6">
        <v>1706</v>
      </c>
      <c r="B707" s="5">
        <v>45782</v>
      </c>
      <c r="C707" s="4" t="s">
        <v>32</v>
      </c>
      <c r="D707" s="4" t="s">
        <v>23</v>
      </c>
      <c r="E707" s="4" t="s">
        <v>26</v>
      </c>
      <c r="F707" s="4">
        <v>8</v>
      </c>
      <c r="G707" s="4">
        <v>1200</v>
      </c>
      <c r="H707" s="4">
        <v>9600</v>
      </c>
      <c r="I707" s="4">
        <v>7172.25</v>
      </c>
      <c r="J707" s="4">
        <v>2427.75</v>
      </c>
      <c r="K707" s="7" t="s">
        <v>21</v>
      </c>
    </row>
    <row r="708" spans="1:11" x14ac:dyDescent="0.25">
      <c r="A708" s="6">
        <v>1707</v>
      </c>
      <c r="B708" s="5">
        <v>45717</v>
      </c>
      <c r="C708" s="4" t="s">
        <v>32</v>
      </c>
      <c r="D708" s="4" t="s">
        <v>12</v>
      </c>
      <c r="E708" s="4" t="s">
        <v>33</v>
      </c>
      <c r="F708" s="4">
        <v>10</v>
      </c>
      <c r="G708" s="4">
        <v>12000</v>
      </c>
      <c r="H708" s="4">
        <v>120000</v>
      </c>
      <c r="I708" s="4">
        <v>67148.73</v>
      </c>
      <c r="J708" s="4">
        <v>52851.27</v>
      </c>
      <c r="K708" s="7" t="s">
        <v>18</v>
      </c>
    </row>
    <row r="709" spans="1:11" x14ac:dyDescent="0.25">
      <c r="A709" s="6">
        <v>1708</v>
      </c>
      <c r="B709" s="5">
        <v>45819</v>
      </c>
      <c r="C709" s="4" t="s">
        <v>30</v>
      </c>
      <c r="D709" s="4" t="s">
        <v>23</v>
      </c>
      <c r="E709" s="4" t="s">
        <v>26</v>
      </c>
      <c r="F709" s="4">
        <v>4</v>
      </c>
      <c r="G709" s="4">
        <v>5000</v>
      </c>
      <c r="H709" s="4">
        <v>20000</v>
      </c>
      <c r="I709" s="4">
        <v>15908.23</v>
      </c>
      <c r="J709" s="4">
        <v>4091.77</v>
      </c>
      <c r="K709" s="7" t="s">
        <v>27</v>
      </c>
    </row>
    <row r="710" spans="1:11" x14ac:dyDescent="0.25">
      <c r="A710" s="6">
        <v>1709</v>
      </c>
      <c r="B710" s="5">
        <v>45785</v>
      </c>
      <c r="C710" s="4" t="s">
        <v>32</v>
      </c>
      <c r="D710" s="4" t="s">
        <v>12</v>
      </c>
      <c r="E710" s="4" t="s">
        <v>31</v>
      </c>
      <c r="F710" s="4">
        <v>1</v>
      </c>
      <c r="G710" s="4">
        <v>5000</v>
      </c>
      <c r="H710" s="4">
        <v>5000</v>
      </c>
      <c r="I710" s="4">
        <v>4206.3100000000004</v>
      </c>
      <c r="J710" s="4">
        <v>793.69</v>
      </c>
      <c r="K710" s="7" t="s">
        <v>18</v>
      </c>
    </row>
    <row r="711" spans="1:11" x14ac:dyDescent="0.25">
      <c r="A711" s="6">
        <v>1710</v>
      </c>
      <c r="B711" s="5">
        <v>45749</v>
      </c>
      <c r="C711" s="4" t="s">
        <v>30</v>
      </c>
      <c r="D711" s="4" t="s">
        <v>23</v>
      </c>
      <c r="E711" s="4" t="s">
        <v>26</v>
      </c>
      <c r="F711" s="4">
        <v>6</v>
      </c>
      <c r="G711" s="4">
        <v>150</v>
      </c>
      <c r="H711" s="4">
        <v>900</v>
      </c>
      <c r="I711" s="4">
        <v>669.68</v>
      </c>
      <c r="J711" s="4">
        <v>230.32</v>
      </c>
      <c r="K711" s="7" t="s">
        <v>27</v>
      </c>
    </row>
    <row r="712" spans="1:11" x14ac:dyDescent="0.25">
      <c r="A712" s="6">
        <v>1711</v>
      </c>
      <c r="B712" s="5">
        <v>46007</v>
      </c>
      <c r="C712" s="4" t="s">
        <v>11</v>
      </c>
      <c r="D712" s="4" t="s">
        <v>23</v>
      </c>
      <c r="E712" s="4" t="s">
        <v>25</v>
      </c>
      <c r="F712" s="4">
        <v>10</v>
      </c>
      <c r="G712" s="4">
        <v>500</v>
      </c>
      <c r="H712" s="4">
        <v>5000</v>
      </c>
      <c r="I712" s="4">
        <v>3069.87</v>
      </c>
      <c r="J712" s="4">
        <v>1930.13</v>
      </c>
      <c r="K712" s="7" t="s">
        <v>21</v>
      </c>
    </row>
    <row r="713" spans="1:11" x14ac:dyDescent="0.25">
      <c r="A713" s="6">
        <v>1712</v>
      </c>
      <c r="B713" s="5">
        <v>45793</v>
      </c>
      <c r="C713" s="4" t="s">
        <v>11</v>
      </c>
      <c r="D713" s="4" t="s">
        <v>12</v>
      </c>
      <c r="E713" s="4" t="s">
        <v>13</v>
      </c>
      <c r="F713" s="4">
        <v>4</v>
      </c>
      <c r="G713" s="4">
        <v>5000</v>
      </c>
      <c r="H713" s="4">
        <v>20000</v>
      </c>
      <c r="I713" s="4">
        <v>12694.4</v>
      </c>
      <c r="J713" s="4">
        <v>7305.6</v>
      </c>
      <c r="K713" s="7" t="s">
        <v>28</v>
      </c>
    </row>
    <row r="714" spans="1:11" x14ac:dyDescent="0.25">
      <c r="A714" s="6">
        <v>1713</v>
      </c>
      <c r="B714" s="5">
        <v>45712</v>
      </c>
      <c r="C714" s="4" t="s">
        <v>15</v>
      </c>
      <c r="D714" s="4" t="s">
        <v>16</v>
      </c>
      <c r="E714" s="4" t="s">
        <v>20</v>
      </c>
      <c r="F714" s="4">
        <v>10</v>
      </c>
      <c r="G714" s="4">
        <v>500</v>
      </c>
      <c r="H714" s="4">
        <v>5000</v>
      </c>
      <c r="I714" s="4">
        <v>3022.99</v>
      </c>
      <c r="J714" s="4">
        <v>1977.01</v>
      </c>
      <c r="K714" s="7" t="s">
        <v>18</v>
      </c>
    </row>
    <row r="715" spans="1:11" x14ac:dyDescent="0.25">
      <c r="A715" s="6">
        <v>1714</v>
      </c>
      <c r="B715" s="5">
        <v>45935</v>
      </c>
      <c r="C715" s="4" t="s">
        <v>15</v>
      </c>
      <c r="D715" s="4" t="s">
        <v>12</v>
      </c>
      <c r="E715" s="4" t="s">
        <v>31</v>
      </c>
      <c r="F715" s="4">
        <v>8</v>
      </c>
      <c r="G715" s="4">
        <v>2500</v>
      </c>
      <c r="H715" s="4">
        <v>20000</v>
      </c>
      <c r="I715" s="4">
        <v>11046.37</v>
      </c>
      <c r="J715" s="4">
        <v>8953.6299999999992</v>
      </c>
      <c r="K715" s="7" t="s">
        <v>21</v>
      </c>
    </row>
    <row r="716" spans="1:11" x14ac:dyDescent="0.25">
      <c r="A716" s="6">
        <v>1715</v>
      </c>
      <c r="B716" s="5">
        <v>45952</v>
      </c>
      <c r="C716" s="4" t="s">
        <v>32</v>
      </c>
      <c r="D716" s="4" t="s">
        <v>23</v>
      </c>
      <c r="E716" s="4" t="s">
        <v>26</v>
      </c>
      <c r="F716" s="4">
        <v>6</v>
      </c>
      <c r="G716" s="4">
        <v>1200</v>
      </c>
      <c r="H716" s="4">
        <v>7200</v>
      </c>
      <c r="I716" s="4">
        <v>6223.27</v>
      </c>
      <c r="J716" s="4">
        <v>976.73</v>
      </c>
      <c r="K716" s="7" t="s">
        <v>21</v>
      </c>
    </row>
    <row r="717" spans="1:11" x14ac:dyDescent="0.25">
      <c r="A717" s="6">
        <v>1716</v>
      </c>
      <c r="B717" s="5">
        <v>45953</v>
      </c>
      <c r="C717" s="4" t="s">
        <v>11</v>
      </c>
      <c r="D717" s="4" t="s">
        <v>16</v>
      </c>
      <c r="E717" s="4" t="s">
        <v>17</v>
      </c>
      <c r="F717" s="4">
        <v>5</v>
      </c>
      <c r="G717" s="4">
        <v>1200</v>
      </c>
      <c r="H717" s="4">
        <v>6000</v>
      </c>
      <c r="I717" s="4">
        <v>3766.39</v>
      </c>
      <c r="J717" s="4">
        <v>2233.61</v>
      </c>
      <c r="K717" s="7" t="s">
        <v>18</v>
      </c>
    </row>
    <row r="718" spans="1:11" x14ac:dyDescent="0.25">
      <c r="A718" s="6">
        <v>1717</v>
      </c>
      <c r="B718" s="5">
        <v>45835</v>
      </c>
      <c r="C718" s="4" t="s">
        <v>30</v>
      </c>
      <c r="D718" s="4" t="s">
        <v>12</v>
      </c>
      <c r="E718" s="4" t="s">
        <v>33</v>
      </c>
      <c r="F718" s="4">
        <v>8</v>
      </c>
      <c r="G718" s="4">
        <v>2500</v>
      </c>
      <c r="H718" s="4">
        <v>20000</v>
      </c>
      <c r="I718" s="4">
        <v>11227.94</v>
      </c>
      <c r="J718" s="4">
        <v>8772.06</v>
      </c>
      <c r="K718" s="7" t="s">
        <v>14</v>
      </c>
    </row>
    <row r="719" spans="1:11" x14ac:dyDescent="0.25">
      <c r="A719" s="6">
        <v>1718</v>
      </c>
      <c r="B719" s="5">
        <v>45819</v>
      </c>
      <c r="C719" s="4" t="s">
        <v>15</v>
      </c>
      <c r="D719" s="4" t="s">
        <v>16</v>
      </c>
      <c r="E719" s="4" t="s">
        <v>22</v>
      </c>
      <c r="F719" s="4">
        <v>2</v>
      </c>
      <c r="G719" s="4">
        <v>5000</v>
      </c>
      <c r="H719" s="4">
        <v>10000</v>
      </c>
      <c r="I719" s="4">
        <v>7313.72</v>
      </c>
      <c r="J719" s="4">
        <v>2686.28</v>
      </c>
      <c r="K719" s="7" t="s">
        <v>18</v>
      </c>
    </row>
    <row r="720" spans="1:11" x14ac:dyDescent="0.25">
      <c r="A720" s="6">
        <v>1719</v>
      </c>
      <c r="B720" s="5">
        <v>45843</v>
      </c>
      <c r="C720" s="4" t="s">
        <v>19</v>
      </c>
      <c r="D720" s="4" t="s">
        <v>12</v>
      </c>
      <c r="E720" s="4" t="s">
        <v>13</v>
      </c>
      <c r="F720" s="4">
        <v>7</v>
      </c>
      <c r="G720" s="4">
        <v>2500</v>
      </c>
      <c r="H720" s="4">
        <v>17500</v>
      </c>
      <c r="I720" s="4">
        <v>10242.08</v>
      </c>
      <c r="J720" s="4">
        <v>7257.92</v>
      </c>
      <c r="K720" s="7" t="s">
        <v>27</v>
      </c>
    </row>
    <row r="721" spans="1:11" x14ac:dyDescent="0.25">
      <c r="A721" s="6">
        <v>1720</v>
      </c>
      <c r="B721" s="5">
        <v>45971</v>
      </c>
      <c r="C721" s="4" t="s">
        <v>32</v>
      </c>
      <c r="D721" s="4" t="s">
        <v>16</v>
      </c>
      <c r="E721" s="4" t="s">
        <v>17</v>
      </c>
      <c r="F721" s="4">
        <v>5</v>
      </c>
      <c r="G721" s="4">
        <v>250</v>
      </c>
      <c r="H721" s="4">
        <v>1250</v>
      </c>
      <c r="I721" s="4">
        <v>805.37</v>
      </c>
      <c r="J721" s="4">
        <v>444.63</v>
      </c>
      <c r="K721" s="7" t="s">
        <v>27</v>
      </c>
    </row>
    <row r="722" spans="1:11" x14ac:dyDescent="0.25">
      <c r="A722" s="6">
        <v>1721</v>
      </c>
      <c r="B722" s="5">
        <v>45848</v>
      </c>
      <c r="C722" s="4" t="s">
        <v>32</v>
      </c>
      <c r="D722" s="4" t="s">
        <v>16</v>
      </c>
      <c r="E722" s="4" t="s">
        <v>22</v>
      </c>
      <c r="F722" s="4">
        <v>7</v>
      </c>
      <c r="G722" s="4">
        <v>250</v>
      </c>
      <c r="H722" s="4">
        <v>1750</v>
      </c>
      <c r="I722" s="4">
        <v>1219.19</v>
      </c>
      <c r="J722" s="4">
        <v>530.80999999999995</v>
      </c>
      <c r="K722" s="7" t="s">
        <v>21</v>
      </c>
    </row>
    <row r="723" spans="1:11" x14ac:dyDescent="0.25">
      <c r="A723" s="6">
        <v>1722</v>
      </c>
      <c r="B723" s="5">
        <v>45952</v>
      </c>
      <c r="C723" s="4" t="s">
        <v>11</v>
      </c>
      <c r="D723" s="4" t="s">
        <v>23</v>
      </c>
      <c r="E723" s="4" t="s">
        <v>24</v>
      </c>
      <c r="F723" s="4">
        <v>3</v>
      </c>
      <c r="G723" s="4">
        <v>2500</v>
      </c>
      <c r="H723" s="4">
        <v>7500</v>
      </c>
      <c r="I723" s="4">
        <v>4469.24</v>
      </c>
      <c r="J723" s="4">
        <v>3030.76</v>
      </c>
      <c r="K723" s="7" t="s">
        <v>18</v>
      </c>
    </row>
    <row r="724" spans="1:11" x14ac:dyDescent="0.25">
      <c r="A724" s="6">
        <v>1723</v>
      </c>
      <c r="B724" s="5">
        <v>45853</v>
      </c>
      <c r="C724" s="4" t="s">
        <v>11</v>
      </c>
      <c r="D724" s="4" t="s">
        <v>12</v>
      </c>
      <c r="E724" s="4" t="s">
        <v>33</v>
      </c>
      <c r="F724" s="4">
        <v>4</v>
      </c>
      <c r="G724" s="4">
        <v>2500</v>
      </c>
      <c r="H724" s="4">
        <v>10000</v>
      </c>
      <c r="I724" s="4">
        <v>7012.77</v>
      </c>
      <c r="J724" s="4">
        <v>2987.23</v>
      </c>
      <c r="K724" s="7" t="s">
        <v>28</v>
      </c>
    </row>
    <row r="725" spans="1:11" x14ac:dyDescent="0.25">
      <c r="A725" s="6">
        <v>1724</v>
      </c>
      <c r="B725" s="5">
        <v>45873</v>
      </c>
      <c r="C725" s="4" t="s">
        <v>30</v>
      </c>
      <c r="D725" s="4" t="s">
        <v>12</v>
      </c>
      <c r="E725" s="4" t="s">
        <v>13</v>
      </c>
      <c r="F725" s="4">
        <v>8</v>
      </c>
      <c r="G725" s="4">
        <v>12000</v>
      </c>
      <c r="H725" s="4">
        <v>96000</v>
      </c>
      <c r="I725" s="4">
        <v>53127.34</v>
      </c>
      <c r="J725" s="4">
        <v>42872.66</v>
      </c>
      <c r="K725" s="7" t="s">
        <v>28</v>
      </c>
    </row>
    <row r="726" spans="1:11" x14ac:dyDescent="0.25">
      <c r="A726" s="6">
        <v>1725</v>
      </c>
      <c r="B726" s="5">
        <v>45907</v>
      </c>
      <c r="C726" s="4" t="s">
        <v>32</v>
      </c>
      <c r="D726" s="4" t="s">
        <v>12</v>
      </c>
      <c r="E726" s="4" t="s">
        <v>31</v>
      </c>
      <c r="F726" s="4">
        <v>9</v>
      </c>
      <c r="G726" s="4">
        <v>5000</v>
      </c>
      <c r="H726" s="4">
        <v>45000</v>
      </c>
      <c r="I726" s="4">
        <v>29722.7</v>
      </c>
      <c r="J726" s="4">
        <v>15277.3</v>
      </c>
      <c r="K726" s="7" t="s">
        <v>27</v>
      </c>
    </row>
    <row r="727" spans="1:11" x14ac:dyDescent="0.25">
      <c r="A727" s="6">
        <v>1726</v>
      </c>
      <c r="B727" s="5">
        <v>45741</v>
      </c>
      <c r="C727" s="4" t="s">
        <v>15</v>
      </c>
      <c r="D727" s="4" t="s">
        <v>12</v>
      </c>
      <c r="E727" s="4" t="s">
        <v>31</v>
      </c>
      <c r="F727" s="4">
        <v>1</v>
      </c>
      <c r="G727" s="4">
        <v>1200</v>
      </c>
      <c r="H727" s="4">
        <v>1200</v>
      </c>
      <c r="I727" s="4">
        <v>701.57</v>
      </c>
      <c r="J727" s="4">
        <v>498.43</v>
      </c>
      <c r="K727" s="7" t="s">
        <v>28</v>
      </c>
    </row>
    <row r="728" spans="1:11" x14ac:dyDescent="0.25">
      <c r="A728" s="6">
        <v>1727</v>
      </c>
      <c r="B728" s="5">
        <v>45791</v>
      </c>
      <c r="C728" s="4" t="s">
        <v>32</v>
      </c>
      <c r="D728" s="4" t="s">
        <v>23</v>
      </c>
      <c r="E728" s="4" t="s">
        <v>24</v>
      </c>
      <c r="F728" s="4">
        <v>2</v>
      </c>
      <c r="G728" s="4">
        <v>1200</v>
      </c>
      <c r="H728" s="4">
        <v>2400</v>
      </c>
      <c r="I728" s="4">
        <v>1945.46</v>
      </c>
      <c r="J728" s="4">
        <v>454.54</v>
      </c>
      <c r="K728" s="7" t="s">
        <v>27</v>
      </c>
    </row>
    <row r="729" spans="1:11" x14ac:dyDescent="0.25">
      <c r="A729" s="6">
        <v>1728</v>
      </c>
      <c r="B729" s="5">
        <v>45720</v>
      </c>
      <c r="C729" s="4" t="s">
        <v>32</v>
      </c>
      <c r="D729" s="4" t="s">
        <v>12</v>
      </c>
      <c r="E729" s="4" t="s">
        <v>31</v>
      </c>
      <c r="F729" s="4">
        <v>5</v>
      </c>
      <c r="G729" s="4">
        <v>500</v>
      </c>
      <c r="H729" s="4">
        <v>2500</v>
      </c>
      <c r="I729" s="4">
        <v>1392.36</v>
      </c>
      <c r="J729" s="4">
        <v>1107.6400000000001</v>
      </c>
      <c r="K729" s="7" t="s">
        <v>14</v>
      </c>
    </row>
    <row r="730" spans="1:11" x14ac:dyDescent="0.25">
      <c r="A730" s="6">
        <v>1729</v>
      </c>
      <c r="B730" s="5">
        <v>45933</v>
      </c>
      <c r="C730" s="4" t="s">
        <v>11</v>
      </c>
      <c r="D730" s="4" t="s">
        <v>12</v>
      </c>
      <c r="E730" s="4" t="s">
        <v>13</v>
      </c>
      <c r="F730" s="4">
        <v>10</v>
      </c>
      <c r="G730" s="4">
        <v>2500</v>
      </c>
      <c r="H730" s="4">
        <v>25000</v>
      </c>
      <c r="I730" s="4">
        <v>19436.32</v>
      </c>
      <c r="J730" s="4">
        <v>5563.68</v>
      </c>
      <c r="K730" s="7" t="s">
        <v>27</v>
      </c>
    </row>
    <row r="731" spans="1:11" x14ac:dyDescent="0.25">
      <c r="A731" s="6">
        <v>1730</v>
      </c>
      <c r="B731" s="5">
        <v>45886</v>
      </c>
      <c r="C731" s="4" t="s">
        <v>15</v>
      </c>
      <c r="D731" s="4" t="s">
        <v>23</v>
      </c>
      <c r="E731" s="4" t="s">
        <v>24</v>
      </c>
      <c r="F731" s="4">
        <v>9</v>
      </c>
      <c r="G731" s="4">
        <v>1200</v>
      </c>
      <c r="H731" s="4">
        <v>10800</v>
      </c>
      <c r="I731" s="4">
        <v>8868.5300000000007</v>
      </c>
      <c r="J731" s="4">
        <v>1931.47</v>
      </c>
      <c r="K731" s="7" t="s">
        <v>21</v>
      </c>
    </row>
    <row r="732" spans="1:11" x14ac:dyDescent="0.25">
      <c r="A732" s="6">
        <v>1731</v>
      </c>
      <c r="B732" s="5">
        <v>45743</v>
      </c>
      <c r="C732" s="4" t="s">
        <v>32</v>
      </c>
      <c r="D732" s="4" t="s">
        <v>12</v>
      </c>
      <c r="E732" s="4" t="s">
        <v>33</v>
      </c>
      <c r="F732" s="4">
        <v>8</v>
      </c>
      <c r="G732" s="4">
        <v>5000</v>
      </c>
      <c r="H732" s="4">
        <v>40000</v>
      </c>
      <c r="I732" s="4">
        <v>35392.32</v>
      </c>
      <c r="J732" s="4">
        <v>4607.68</v>
      </c>
      <c r="K732" s="7" t="s">
        <v>21</v>
      </c>
    </row>
    <row r="733" spans="1:11" x14ac:dyDescent="0.25">
      <c r="A733" s="6">
        <v>1732</v>
      </c>
      <c r="B733" s="5">
        <v>45694</v>
      </c>
      <c r="C733" s="4" t="s">
        <v>15</v>
      </c>
      <c r="D733" s="4" t="s">
        <v>12</v>
      </c>
      <c r="E733" s="4" t="s">
        <v>31</v>
      </c>
      <c r="F733" s="4">
        <v>10</v>
      </c>
      <c r="G733" s="4">
        <v>1200</v>
      </c>
      <c r="H733" s="4">
        <v>12000</v>
      </c>
      <c r="I733" s="4">
        <v>10165.379999999999</v>
      </c>
      <c r="J733" s="4">
        <v>1834.62</v>
      </c>
      <c r="K733" s="7" t="s">
        <v>28</v>
      </c>
    </row>
    <row r="734" spans="1:11" x14ac:dyDescent="0.25">
      <c r="A734" s="6">
        <v>1733</v>
      </c>
      <c r="B734" s="5">
        <v>46021</v>
      </c>
      <c r="C734" s="4" t="s">
        <v>32</v>
      </c>
      <c r="D734" s="4" t="s">
        <v>23</v>
      </c>
      <c r="E734" s="4" t="s">
        <v>25</v>
      </c>
      <c r="F734" s="4">
        <v>6</v>
      </c>
      <c r="G734" s="4">
        <v>500</v>
      </c>
      <c r="H734" s="4">
        <v>3000</v>
      </c>
      <c r="I734" s="4">
        <v>2335.66</v>
      </c>
      <c r="J734" s="4">
        <v>664.34</v>
      </c>
      <c r="K734" s="7" t="s">
        <v>29</v>
      </c>
    </row>
    <row r="735" spans="1:11" x14ac:dyDescent="0.25">
      <c r="A735" s="6">
        <v>1734</v>
      </c>
      <c r="B735" s="5">
        <v>45843</v>
      </c>
      <c r="C735" s="4" t="s">
        <v>19</v>
      </c>
      <c r="D735" s="4" t="s">
        <v>12</v>
      </c>
      <c r="E735" s="4" t="s">
        <v>33</v>
      </c>
      <c r="F735" s="4">
        <v>5</v>
      </c>
      <c r="G735" s="4">
        <v>1200</v>
      </c>
      <c r="H735" s="4">
        <v>6000</v>
      </c>
      <c r="I735" s="4">
        <v>4940.05</v>
      </c>
      <c r="J735" s="4">
        <v>1059.95</v>
      </c>
      <c r="K735" s="7" t="s">
        <v>29</v>
      </c>
    </row>
    <row r="736" spans="1:11" x14ac:dyDescent="0.25">
      <c r="A736" s="6">
        <v>1735</v>
      </c>
      <c r="B736" s="5">
        <v>45722</v>
      </c>
      <c r="C736" s="4" t="s">
        <v>11</v>
      </c>
      <c r="D736" s="4" t="s">
        <v>23</v>
      </c>
      <c r="E736" s="4" t="s">
        <v>24</v>
      </c>
      <c r="F736" s="4">
        <v>3</v>
      </c>
      <c r="G736" s="4">
        <v>250</v>
      </c>
      <c r="H736" s="4">
        <v>750</v>
      </c>
      <c r="I736" s="4">
        <v>636.73</v>
      </c>
      <c r="J736" s="4">
        <v>113.27</v>
      </c>
      <c r="K736" s="7" t="s">
        <v>14</v>
      </c>
    </row>
    <row r="737" spans="1:11" x14ac:dyDescent="0.25">
      <c r="A737" s="6">
        <v>1736</v>
      </c>
      <c r="B737" s="5">
        <v>45710</v>
      </c>
      <c r="C737" s="4" t="s">
        <v>15</v>
      </c>
      <c r="D737" s="4" t="s">
        <v>23</v>
      </c>
      <c r="E737" s="4" t="s">
        <v>26</v>
      </c>
      <c r="F737" s="4">
        <v>2</v>
      </c>
      <c r="G737" s="4">
        <v>250</v>
      </c>
      <c r="H737" s="4">
        <v>500</v>
      </c>
      <c r="I737" s="4">
        <v>304.20999999999998</v>
      </c>
      <c r="J737" s="4">
        <v>195.79</v>
      </c>
      <c r="K737" s="7" t="s">
        <v>18</v>
      </c>
    </row>
    <row r="738" spans="1:11" x14ac:dyDescent="0.25">
      <c r="A738" s="6">
        <v>1737</v>
      </c>
      <c r="B738" s="5">
        <v>45926</v>
      </c>
      <c r="C738" s="4" t="s">
        <v>15</v>
      </c>
      <c r="D738" s="4" t="s">
        <v>23</v>
      </c>
      <c r="E738" s="4" t="s">
        <v>26</v>
      </c>
      <c r="F738" s="4">
        <v>1</v>
      </c>
      <c r="G738" s="4">
        <v>150</v>
      </c>
      <c r="H738" s="4">
        <v>150</v>
      </c>
      <c r="I738" s="4">
        <v>122.97</v>
      </c>
      <c r="J738" s="4">
        <v>27.03</v>
      </c>
      <c r="K738" s="7" t="s">
        <v>18</v>
      </c>
    </row>
    <row r="739" spans="1:11" x14ac:dyDescent="0.25">
      <c r="A739" s="6">
        <v>1738</v>
      </c>
      <c r="B739" s="5">
        <v>45857</v>
      </c>
      <c r="C739" s="4" t="s">
        <v>32</v>
      </c>
      <c r="D739" s="4" t="s">
        <v>23</v>
      </c>
      <c r="E739" s="4" t="s">
        <v>26</v>
      </c>
      <c r="F739" s="4">
        <v>3</v>
      </c>
      <c r="G739" s="4">
        <v>150</v>
      </c>
      <c r="H739" s="4">
        <v>450</v>
      </c>
      <c r="I739" s="4">
        <v>350.64</v>
      </c>
      <c r="J739" s="4">
        <v>99.36</v>
      </c>
      <c r="K739" s="7" t="s">
        <v>28</v>
      </c>
    </row>
    <row r="740" spans="1:11" x14ac:dyDescent="0.25">
      <c r="A740" s="6">
        <v>1739</v>
      </c>
      <c r="B740" s="5">
        <v>45725</v>
      </c>
      <c r="C740" s="4" t="s">
        <v>19</v>
      </c>
      <c r="D740" s="4" t="s">
        <v>16</v>
      </c>
      <c r="E740" s="4" t="s">
        <v>17</v>
      </c>
      <c r="F740" s="4">
        <v>5</v>
      </c>
      <c r="G740" s="4">
        <v>1200</v>
      </c>
      <c r="H740" s="4">
        <v>6000</v>
      </c>
      <c r="I740" s="4">
        <v>4615.6099999999997</v>
      </c>
      <c r="J740" s="4">
        <v>1384.39</v>
      </c>
      <c r="K740" s="7" t="s">
        <v>28</v>
      </c>
    </row>
    <row r="741" spans="1:11" x14ac:dyDescent="0.25">
      <c r="A741" s="6">
        <v>1740</v>
      </c>
      <c r="B741" s="5">
        <v>45901</v>
      </c>
      <c r="C741" s="4" t="s">
        <v>30</v>
      </c>
      <c r="D741" s="4" t="s">
        <v>16</v>
      </c>
      <c r="E741" s="4" t="s">
        <v>20</v>
      </c>
      <c r="F741" s="4">
        <v>6</v>
      </c>
      <c r="G741" s="4">
        <v>12000</v>
      </c>
      <c r="H741" s="4">
        <v>72000</v>
      </c>
      <c r="I741" s="4">
        <v>62664.86</v>
      </c>
      <c r="J741" s="4">
        <v>9335.14</v>
      </c>
      <c r="K741" s="7" t="s">
        <v>29</v>
      </c>
    </row>
    <row r="742" spans="1:11" x14ac:dyDescent="0.25">
      <c r="A742" s="6">
        <v>1741</v>
      </c>
      <c r="B742" s="5">
        <v>46015</v>
      </c>
      <c r="C742" s="4" t="s">
        <v>19</v>
      </c>
      <c r="D742" s="4" t="s">
        <v>23</v>
      </c>
      <c r="E742" s="4" t="s">
        <v>26</v>
      </c>
      <c r="F742" s="4">
        <v>8</v>
      </c>
      <c r="G742" s="4">
        <v>250</v>
      </c>
      <c r="H742" s="4">
        <v>2000</v>
      </c>
      <c r="I742" s="4">
        <v>1778.68</v>
      </c>
      <c r="J742" s="4">
        <v>221.32</v>
      </c>
      <c r="K742" s="7" t="s">
        <v>28</v>
      </c>
    </row>
    <row r="743" spans="1:11" x14ac:dyDescent="0.25">
      <c r="A743" s="6">
        <v>1742</v>
      </c>
      <c r="B743" s="5">
        <v>45946</v>
      </c>
      <c r="C743" s="4" t="s">
        <v>30</v>
      </c>
      <c r="D743" s="4" t="s">
        <v>12</v>
      </c>
      <c r="E743" s="4" t="s">
        <v>31</v>
      </c>
      <c r="F743" s="4">
        <v>8</v>
      </c>
      <c r="G743" s="4">
        <v>5000</v>
      </c>
      <c r="H743" s="4">
        <v>40000</v>
      </c>
      <c r="I743" s="4">
        <v>32484.76</v>
      </c>
      <c r="J743" s="4">
        <v>7515.24</v>
      </c>
      <c r="K743" s="7" t="s">
        <v>29</v>
      </c>
    </row>
    <row r="744" spans="1:11" x14ac:dyDescent="0.25">
      <c r="A744" s="6">
        <v>1743</v>
      </c>
      <c r="B744" s="5">
        <v>45904</v>
      </c>
      <c r="C744" s="4" t="s">
        <v>19</v>
      </c>
      <c r="D744" s="4" t="s">
        <v>12</v>
      </c>
      <c r="E744" s="4" t="s">
        <v>31</v>
      </c>
      <c r="F744" s="4">
        <v>9</v>
      </c>
      <c r="G744" s="4">
        <v>500</v>
      </c>
      <c r="H744" s="4">
        <v>4500</v>
      </c>
      <c r="I744" s="4">
        <v>3906.55</v>
      </c>
      <c r="J744" s="4">
        <v>593.45000000000005</v>
      </c>
      <c r="K744" s="7" t="s">
        <v>28</v>
      </c>
    </row>
    <row r="745" spans="1:11" x14ac:dyDescent="0.25">
      <c r="A745" s="6">
        <v>1744</v>
      </c>
      <c r="B745" s="5">
        <v>45737</v>
      </c>
      <c r="C745" s="4" t="s">
        <v>32</v>
      </c>
      <c r="D745" s="4" t="s">
        <v>16</v>
      </c>
      <c r="E745" s="4" t="s">
        <v>22</v>
      </c>
      <c r="F745" s="4">
        <v>5</v>
      </c>
      <c r="G745" s="4">
        <v>500</v>
      </c>
      <c r="H745" s="4">
        <v>2500</v>
      </c>
      <c r="I745" s="4">
        <v>1735.68</v>
      </c>
      <c r="J745" s="4">
        <v>764.32</v>
      </c>
      <c r="K745" s="7" t="s">
        <v>18</v>
      </c>
    </row>
    <row r="746" spans="1:11" x14ac:dyDescent="0.25">
      <c r="A746" s="6">
        <v>1745</v>
      </c>
      <c r="B746" s="5">
        <v>45931</v>
      </c>
      <c r="C746" s="4" t="s">
        <v>15</v>
      </c>
      <c r="D746" s="4" t="s">
        <v>16</v>
      </c>
      <c r="E746" s="4" t="s">
        <v>17</v>
      </c>
      <c r="F746" s="4">
        <v>3</v>
      </c>
      <c r="G746" s="4">
        <v>500</v>
      </c>
      <c r="H746" s="4">
        <v>1500</v>
      </c>
      <c r="I746" s="4">
        <v>975.55</v>
      </c>
      <c r="J746" s="4">
        <v>524.45000000000005</v>
      </c>
      <c r="K746" s="7" t="s">
        <v>14</v>
      </c>
    </row>
    <row r="747" spans="1:11" x14ac:dyDescent="0.25">
      <c r="A747" s="6">
        <v>1746</v>
      </c>
      <c r="B747" s="5">
        <v>45807</v>
      </c>
      <c r="C747" s="4" t="s">
        <v>19</v>
      </c>
      <c r="D747" s="4" t="s">
        <v>23</v>
      </c>
      <c r="E747" s="4" t="s">
        <v>24</v>
      </c>
      <c r="F747" s="4">
        <v>5</v>
      </c>
      <c r="G747" s="4">
        <v>150</v>
      </c>
      <c r="H747" s="4">
        <v>750</v>
      </c>
      <c r="I747" s="4">
        <v>613.54</v>
      </c>
      <c r="J747" s="4">
        <v>136.46</v>
      </c>
      <c r="K747" s="7" t="s">
        <v>28</v>
      </c>
    </row>
    <row r="748" spans="1:11" x14ac:dyDescent="0.25">
      <c r="A748" s="6">
        <v>1747</v>
      </c>
      <c r="B748" s="5">
        <v>45945</v>
      </c>
      <c r="C748" s="4" t="s">
        <v>30</v>
      </c>
      <c r="D748" s="4" t="s">
        <v>16</v>
      </c>
      <c r="E748" s="4" t="s">
        <v>17</v>
      </c>
      <c r="F748" s="4">
        <v>6</v>
      </c>
      <c r="G748" s="4">
        <v>250</v>
      </c>
      <c r="H748" s="4">
        <v>1500</v>
      </c>
      <c r="I748" s="4">
        <v>1041.1600000000001</v>
      </c>
      <c r="J748" s="4">
        <v>458.84</v>
      </c>
      <c r="K748" s="7" t="s">
        <v>21</v>
      </c>
    </row>
    <row r="749" spans="1:11" x14ac:dyDescent="0.25">
      <c r="A749" s="6">
        <v>1748</v>
      </c>
      <c r="B749" s="5">
        <v>45792</v>
      </c>
      <c r="C749" s="4" t="s">
        <v>15</v>
      </c>
      <c r="D749" s="4" t="s">
        <v>16</v>
      </c>
      <c r="E749" s="4" t="s">
        <v>20</v>
      </c>
      <c r="F749" s="4">
        <v>7</v>
      </c>
      <c r="G749" s="4">
        <v>12000</v>
      </c>
      <c r="H749" s="4">
        <v>84000</v>
      </c>
      <c r="I749" s="4">
        <v>57323.73</v>
      </c>
      <c r="J749" s="4">
        <v>26676.27</v>
      </c>
      <c r="K749" s="7" t="s">
        <v>21</v>
      </c>
    </row>
    <row r="750" spans="1:11" x14ac:dyDescent="0.25">
      <c r="A750" s="6">
        <v>1749</v>
      </c>
      <c r="B750" s="5">
        <v>45971</v>
      </c>
      <c r="C750" s="4" t="s">
        <v>32</v>
      </c>
      <c r="D750" s="4" t="s">
        <v>12</v>
      </c>
      <c r="E750" s="4" t="s">
        <v>13</v>
      </c>
      <c r="F750" s="4">
        <v>9</v>
      </c>
      <c r="G750" s="4">
        <v>12000</v>
      </c>
      <c r="H750" s="4">
        <v>108000</v>
      </c>
      <c r="I750" s="4">
        <v>89638.45</v>
      </c>
      <c r="J750" s="4">
        <v>18361.55</v>
      </c>
      <c r="K750" s="7" t="s">
        <v>27</v>
      </c>
    </row>
    <row r="751" spans="1:11" x14ac:dyDescent="0.25">
      <c r="A751" s="6">
        <v>1750</v>
      </c>
      <c r="B751" s="5">
        <v>45754</v>
      </c>
      <c r="C751" s="4" t="s">
        <v>15</v>
      </c>
      <c r="D751" s="4" t="s">
        <v>12</v>
      </c>
      <c r="E751" s="4" t="s">
        <v>31</v>
      </c>
      <c r="F751" s="4">
        <v>9</v>
      </c>
      <c r="G751" s="4">
        <v>12000</v>
      </c>
      <c r="H751" s="4">
        <v>108000</v>
      </c>
      <c r="I751" s="4">
        <v>69561.47</v>
      </c>
      <c r="J751" s="4">
        <v>38438.53</v>
      </c>
      <c r="K751" s="7" t="s">
        <v>28</v>
      </c>
    </row>
    <row r="752" spans="1:11" x14ac:dyDescent="0.25">
      <c r="A752" s="6">
        <v>1751</v>
      </c>
      <c r="B752" s="5">
        <v>45889</v>
      </c>
      <c r="C752" s="4" t="s">
        <v>32</v>
      </c>
      <c r="D752" s="4" t="s">
        <v>16</v>
      </c>
      <c r="E752" s="4" t="s">
        <v>22</v>
      </c>
      <c r="F752" s="4">
        <v>2</v>
      </c>
      <c r="G752" s="4">
        <v>5000</v>
      </c>
      <c r="H752" s="4">
        <v>10000</v>
      </c>
      <c r="I752" s="4">
        <v>7093.7</v>
      </c>
      <c r="J752" s="4">
        <v>2906.3</v>
      </c>
      <c r="K752" s="7" t="s">
        <v>14</v>
      </c>
    </row>
    <row r="753" spans="1:11" x14ac:dyDescent="0.25">
      <c r="A753" s="6">
        <v>1752</v>
      </c>
      <c r="B753" s="5">
        <v>45683</v>
      </c>
      <c r="C753" s="4" t="s">
        <v>19</v>
      </c>
      <c r="D753" s="4" t="s">
        <v>12</v>
      </c>
      <c r="E753" s="4" t="s">
        <v>33</v>
      </c>
      <c r="F753" s="4">
        <v>4</v>
      </c>
      <c r="G753" s="4">
        <v>500</v>
      </c>
      <c r="H753" s="4">
        <v>2000</v>
      </c>
      <c r="I753" s="4">
        <v>1113.58</v>
      </c>
      <c r="J753" s="4">
        <v>886.42</v>
      </c>
      <c r="K753" s="7" t="s">
        <v>18</v>
      </c>
    </row>
    <row r="754" spans="1:11" x14ac:dyDescent="0.25">
      <c r="A754" s="6">
        <v>1753</v>
      </c>
      <c r="B754" s="5">
        <v>45882</v>
      </c>
      <c r="C754" s="4" t="s">
        <v>15</v>
      </c>
      <c r="D754" s="4" t="s">
        <v>16</v>
      </c>
      <c r="E754" s="4" t="s">
        <v>20</v>
      </c>
      <c r="F754" s="4">
        <v>5</v>
      </c>
      <c r="G754" s="4">
        <v>500</v>
      </c>
      <c r="H754" s="4">
        <v>2500</v>
      </c>
      <c r="I754" s="4">
        <v>1484.41</v>
      </c>
      <c r="J754" s="4">
        <v>1015.59</v>
      </c>
      <c r="K754" s="7" t="s">
        <v>28</v>
      </c>
    </row>
    <row r="755" spans="1:11" x14ac:dyDescent="0.25">
      <c r="A755" s="6">
        <v>1754</v>
      </c>
      <c r="B755" s="5">
        <v>45873</v>
      </c>
      <c r="C755" s="4" t="s">
        <v>32</v>
      </c>
      <c r="D755" s="4" t="s">
        <v>16</v>
      </c>
      <c r="E755" s="4" t="s">
        <v>20</v>
      </c>
      <c r="F755" s="4">
        <v>1</v>
      </c>
      <c r="G755" s="4">
        <v>1200</v>
      </c>
      <c r="H755" s="4">
        <v>1200</v>
      </c>
      <c r="I755" s="4">
        <v>751.22</v>
      </c>
      <c r="J755" s="4">
        <v>448.78</v>
      </c>
      <c r="K755" s="7" t="s">
        <v>21</v>
      </c>
    </row>
    <row r="756" spans="1:11" x14ac:dyDescent="0.25">
      <c r="A756" s="6">
        <v>1755</v>
      </c>
      <c r="B756" s="5">
        <v>45732</v>
      </c>
      <c r="C756" s="4" t="s">
        <v>15</v>
      </c>
      <c r="D756" s="4" t="s">
        <v>23</v>
      </c>
      <c r="E756" s="4" t="s">
        <v>24</v>
      </c>
      <c r="F756" s="4">
        <v>1</v>
      </c>
      <c r="G756" s="4">
        <v>500</v>
      </c>
      <c r="H756" s="4">
        <v>500</v>
      </c>
      <c r="I756" s="4">
        <v>289.04000000000002</v>
      </c>
      <c r="J756" s="4">
        <v>210.96</v>
      </c>
      <c r="K756" s="7" t="s">
        <v>27</v>
      </c>
    </row>
    <row r="757" spans="1:11" x14ac:dyDescent="0.25">
      <c r="A757" s="6">
        <v>1756</v>
      </c>
      <c r="B757" s="5">
        <v>45786</v>
      </c>
      <c r="C757" s="4" t="s">
        <v>30</v>
      </c>
      <c r="D757" s="4" t="s">
        <v>23</v>
      </c>
      <c r="E757" s="4" t="s">
        <v>25</v>
      </c>
      <c r="F757" s="4">
        <v>9</v>
      </c>
      <c r="G757" s="4">
        <v>1200</v>
      </c>
      <c r="H757" s="4">
        <v>10800</v>
      </c>
      <c r="I757" s="4">
        <v>6626.46</v>
      </c>
      <c r="J757" s="4">
        <v>4173.54</v>
      </c>
      <c r="K757" s="7" t="s">
        <v>18</v>
      </c>
    </row>
    <row r="758" spans="1:11" x14ac:dyDescent="0.25">
      <c r="A758" s="6">
        <v>1757</v>
      </c>
      <c r="B758" s="5">
        <v>45884</v>
      </c>
      <c r="C758" s="4" t="s">
        <v>11</v>
      </c>
      <c r="D758" s="4" t="s">
        <v>16</v>
      </c>
      <c r="E758" s="4" t="s">
        <v>17</v>
      </c>
      <c r="F758" s="4">
        <v>4</v>
      </c>
      <c r="G758" s="4">
        <v>1200</v>
      </c>
      <c r="H758" s="4">
        <v>4800</v>
      </c>
      <c r="I758" s="4">
        <v>3935.66</v>
      </c>
      <c r="J758" s="4">
        <v>864.34</v>
      </c>
      <c r="K758" s="7" t="s">
        <v>14</v>
      </c>
    </row>
    <row r="759" spans="1:11" x14ac:dyDescent="0.25">
      <c r="A759" s="6">
        <v>1758</v>
      </c>
      <c r="B759" s="5">
        <v>45924</v>
      </c>
      <c r="C759" s="4" t="s">
        <v>11</v>
      </c>
      <c r="D759" s="4" t="s">
        <v>16</v>
      </c>
      <c r="E759" s="4" t="s">
        <v>20</v>
      </c>
      <c r="F759" s="4">
        <v>8</v>
      </c>
      <c r="G759" s="4">
        <v>5000</v>
      </c>
      <c r="H759" s="4">
        <v>40000</v>
      </c>
      <c r="I759" s="4">
        <v>32793.94</v>
      </c>
      <c r="J759" s="4">
        <v>7206.06</v>
      </c>
      <c r="K759" s="7" t="s">
        <v>21</v>
      </c>
    </row>
    <row r="760" spans="1:11" x14ac:dyDescent="0.25">
      <c r="A760" s="6">
        <v>1759</v>
      </c>
      <c r="B760" s="5">
        <v>45679</v>
      </c>
      <c r="C760" s="4" t="s">
        <v>19</v>
      </c>
      <c r="D760" s="4" t="s">
        <v>23</v>
      </c>
      <c r="E760" s="4" t="s">
        <v>26</v>
      </c>
      <c r="F760" s="4">
        <v>5</v>
      </c>
      <c r="G760" s="4">
        <v>500</v>
      </c>
      <c r="H760" s="4">
        <v>2500</v>
      </c>
      <c r="I760" s="4">
        <v>1513.79</v>
      </c>
      <c r="J760" s="4">
        <v>986.21</v>
      </c>
      <c r="K760" s="7" t="s">
        <v>29</v>
      </c>
    </row>
    <row r="761" spans="1:11" x14ac:dyDescent="0.25">
      <c r="A761" s="6">
        <v>1760</v>
      </c>
      <c r="B761" s="5">
        <v>45842</v>
      </c>
      <c r="C761" s="4" t="s">
        <v>15</v>
      </c>
      <c r="D761" s="4" t="s">
        <v>16</v>
      </c>
      <c r="E761" s="4" t="s">
        <v>22</v>
      </c>
      <c r="F761" s="4">
        <v>8</v>
      </c>
      <c r="G761" s="4">
        <v>5000</v>
      </c>
      <c r="H761" s="4">
        <v>40000</v>
      </c>
      <c r="I761" s="4">
        <v>26183.38</v>
      </c>
      <c r="J761" s="4">
        <v>13816.62</v>
      </c>
      <c r="K761" s="7" t="s">
        <v>14</v>
      </c>
    </row>
    <row r="762" spans="1:11" x14ac:dyDescent="0.25">
      <c r="A762" s="6">
        <v>1761</v>
      </c>
      <c r="B762" s="5">
        <v>45665</v>
      </c>
      <c r="C762" s="4" t="s">
        <v>11</v>
      </c>
      <c r="D762" s="4" t="s">
        <v>16</v>
      </c>
      <c r="E762" s="4" t="s">
        <v>20</v>
      </c>
      <c r="F762" s="4">
        <v>4</v>
      </c>
      <c r="G762" s="4">
        <v>5000</v>
      </c>
      <c r="H762" s="4">
        <v>20000</v>
      </c>
      <c r="I762" s="4">
        <v>14039.13</v>
      </c>
      <c r="J762" s="4">
        <v>5960.87</v>
      </c>
      <c r="K762" s="7" t="s">
        <v>27</v>
      </c>
    </row>
    <row r="763" spans="1:11" x14ac:dyDescent="0.25">
      <c r="A763" s="6">
        <v>1762</v>
      </c>
      <c r="B763" s="5">
        <v>45679</v>
      </c>
      <c r="C763" s="4" t="s">
        <v>19</v>
      </c>
      <c r="D763" s="4" t="s">
        <v>12</v>
      </c>
      <c r="E763" s="4" t="s">
        <v>13</v>
      </c>
      <c r="F763" s="4">
        <v>7</v>
      </c>
      <c r="G763" s="4">
        <v>12000</v>
      </c>
      <c r="H763" s="4">
        <v>84000</v>
      </c>
      <c r="I763" s="4">
        <v>53346.83</v>
      </c>
      <c r="J763" s="4">
        <v>30653.17</v>
      </c>
      <c r="K763" s="7" t="s">
        <v>14</v>
      </c>
    </row>
    <row r="764" spans="1:11" x14ac:dyDescent="0.25">
      <c r="A764" s="6">
        <v>1763</v>
      </c>
      <c r="B764" s="5">
        <v>45703</v>
      </c>
      <c r="C764" s="4" t="s">
        <v>11</v>
      </c>
      <c r="D764" s="4" t="s">
        <v>23</v>
      </c>
      <c r="E764" s="4" t="s">
        <v>26</v>
      </c>
      <c r="F764" s="4">
        <v>10</v>
      </c>
      <c r="G764" s="4">
        <v>250</v>
      </c>
      <c r="H764" s="4">
        <v>2500</v>
      </c>
      <c r="I764" s="4">
        <v>1699.97</v>
      </c>
      <c r="J764" s="4">
        <v>800.03</v>
      </c>
      <c r="K764" s="7" t="s">
        <v>28</v>
      </c>
    </row>
    <row r="765" spans="1:11" x14ac:dyDescent="0.25">
      <c r="A765" s="6">
        <v>1764</v>
      </c>
      <c r="B765" s="5">
        <v>45978</v>
      </c>
      <c r="C765" s="4" t="s">
        <v>15</v>
      </c>
      <c r="D765" s="4" t="s">
        <v>23</v>
      </c>
      <c r="E765" s="4" t="s">
        <v>25</v>
      </c>
      <c r="F765" s="4">
        <v>10</v>
      </c>
      <c r="G765" s="4">
        <v>500</v>
      </c>
      <c r="H765" s="4">
        <v>5000</v>
      </c>
      <c r="I765" s="4">
        <v>4378.99</v>
      </c>
      <c r="J765" s="4">
        <v>621.01</v>
      </c>
      <c r="K765" s="7" t="s">
        <v>18</v>
      </c>
    </row>
    <row r="766" spans="1:11" x14ac:dyDescent="0.25">
      <c r="A766" s="6">
        <v>1765</v>
      </c>
      <c r="B766" s="5">
        <v>45712</v>
      </c>
      <c r="C766" s="4" t="s">
        <v>11</v>
      </c>
      <c r="D766" s="4" t="s">
        <v>23</v>
      </c>
      <c r="E766" s="4" t="s">
        <v>26</v>
      </c>
      <c r="F766" s="4">
        <v>3</v>
      </c>
      <c r="G766" s="4">
        <v>5000</v>
      </c>
      <c r="H766" s="4">
        <v>15000</v>
      </c>
      <c r="I766" s="4">
        <v>11065.85</v>
      </c>
      <c r="J766" s="4">
        <v>3934.15</v>
      </c>
      <c r="K766" s="7" t="s">
        <v>21</v>
      </c>
    </row>
    <row r="767" spans="1:11" x14ac:dyDescent="0.25">
      <c r="A767" s="6">
        <v>1766</v>
      </c>
      <c r="B767" s="5">
        <v>45835</v>
      </c>
      <c r="C767" s="4" t="s">
        <v>30</v>
      </c>
      <c r="D767" s="4" t="s">
        <v>16</v>
      </c>
      <c r="E767" s="4" t="s">
        <v>22</v>
      </c>
      <c r="F767" s="4">
        <v>9</v>
      </c>
      <c r="G767" s="4">
        <v>12000</v>
      </c>
      <c r="H767" s="4">
        <v>108000</v>
      </c>
      <c r="I767" s="4">
        <v>83767.62</v>
      </c>
      <c r="J767" s="4">
        <v>24232.38</v>
      </c>
      <c r="K767" s="7" t="s">
        <v>14</v>
      </c>
    </row>
    <row r="768" spans="1:11" x14ac:dyDescent="0.25">
      <c r="A768" s="6">
        <v>1767</v>
      </c>
      <c r="B768" s="5">
        <v>45786</v>
      </c>
      <c r="C768" s="4" t="s">
        <v>15</v>
      </c>
      <c r="D768" s="4" t="s">
        <v>16</v>
      </c>
      <c r="E768" s="4" t="s">
        <v>20</v>
      </c>
      <c r="F768" s="4">
        <v>7</v>
      </c>
      <c r="G768" s="4">
        <v>500</v>
      </c>
      <c r="H768" s="4">
        <v>3500</v>
      </c>
      <c r="I768" s="4">
        <v>2812.39</v>
      </c>
      <c r="J768" s="4">
        <v>687.61</v>
      </c>
      <c r="K768" s="7" t="s">
        <v>21</v>
      </c>
    </row>
    <row r="769" spans="1:11" x14ac:dyDescent="0.25">
      <c r="A769" s="6">
        <v>1768</v>
      </c>
      <c r="B769" s="5">
        <v>45908</v>
      </c>
      <c r="C769" s="4" t="s">
        <v>11</v>
      </c>
      <c r="D769" s="4" t="s">
        <v>12</v>
      </c>
      <c r="E769" s="4" t="s">
        <v>33</v>
      </c>
      <c r="F769" s="4">
        <v>9</v>
      </c>
      <c r="G769" s="4">
        <v>500</v>
      </c>
      <c r="H769" s="4">
        <v>4500</v>
      </c>
      <c r="I769" s="4">
        <v>3329.81</v>
      </c>
      <c r="J769" s="4">
        <v>1170.19</v>
      </c>
      <c r="K769" s="7" t="s">
        <v>29</v>
      </c>
    </row>
    <row r="770" spans="1:11" x14ac:dyDescent="0.25">
      <c r="A770" s="6">
        <v>1769</v>
      </c>
      <c r="B770" s="5">
        <v>45798</v>
      </c>
      <c r="C770" s="4" t="s">
        <v>19</v>
      </c>
      <c r="D770" s="4" t="s">
        <v>16</v>
      </c>
      <c r="E770" s="4" t="s">
        <v>17</v>
      </c>
      <c r="F770" s="4">
        <v>6</v>
      </c>
      <c r="G770" s="4">
        <v>500</v>
      </c>
      <c r="H770" s="4">
        <v>3000</v>
      </c>
      <c r="I770" s="4">
        <v>2419.02</v>
      </c>
      <c r="J770" s="4">
        <v>580.98</v>
      </c>
      <c r="K770" s="7" t="s">
        <v>29</v>
      </c>
    </row>
    <row r="771" spans="1:11" x14ac:dyDescent="0.25">
      <c r="A771" s="6">
        <v>1770</v>
      </c>
      <c r="B771" s="5">
        <v>45792</v>
      </c>
      <c r="C771" s="4" t="s">
        <v>19</v>
      </c>
      <c r="D771" s="4" t="s">
        <v>16</v>
      </c>
      <c r="E771" s="4" t="s">
        <v>20</v>
      </c>
      <c r="F771" s="4">
        <v>9</v>
      </c>
      <c r="G771" s="4">
        <v>250</v>
      </c>
      <c r="H771" s="4">
        <v>2250</v>
      </c>
      <c r="I771" s="4">
        <v>1591.39</v>
      </c>
      <c r="J771" s="4">
        <v>658.61</v>
      </c>
      <c r="K771" s="7" t="s">
        <v>27</v>
      </c>
    </row>
    <row r="772" spans="1:11" x14ac:dyDescent="0.25">
      <c r="A772" s="6">
        <v>1771</v>
      </c>
      <c r="B772" s="5">
        <v>45667</v>
      </c>
      <c r="C772" s="4" t="s">
        <v>19</v>
      </c>
      <c r="D772" s="4" t="s">
        <v>23</v>
      </c>
      <c r="E772" s="4" t="s">
        <v>25</v>
      </c>
      <c r="F772" s="4">
        <v>9</v>
      </c>
      <c r="G772" s="4">
        <v>1200</v>
      </c>
      <c r="H772" s="4">
        <v>10800</v>
      </c>
      <c r="I772" s="4">
        <v>8713.23</v>
      </c>
      <c r="J772" s="4">
        <v>2086.77</v>
      </c>
      <c r="K772" s="7" t="s">
        <v>27</v>
      </c>
    </row>
    <row r="773" spans="1:11" x14ac:dyDescent="0.25">
      <c r="A773" s="6">
        <v>1772</v>
      </c>
      <c r="B773" s="5">
        <v>45933</v>
      </c>
      <c r="C773" s="4" t="s">
        <v>30</v>
      </c>
      <c r="D773" s="4" t="s">
        <v>12</v>
      </c>
      <c r="E773" s="4" t="s">
        <v>13</v>
      </c>
      <c r="F773" s="4">
        <v>6</v>
      </c>
      <c r="G773" s="4">
        <v>5000</v>
      </c>
      <c r="H773" s="4">
        <v>30000</v>
      </c>
      <c r="I773" s="4">
        <v>17165.09</v>
      </c>
      <c r="J773" s="4">
        <v>12834.91</v>
      </c>
      <c r="K773" s="7" t="s">
        <v>28</v>
      </c>
    </row>
    <row r="774" spans="1:11" x14ac:dyDescent="0.25">
      <c r="A774" s="6">
        <v>1773</v>
      </c>
      <c r="B774" s="5">
        <v>45971</v>
      </c>
      <c r="C774" s="4" t="s">
        <v>32</v>
      </c>
      <c r="D774" s="4" t="s">
        <v>12</v>
      </c>
      <c r="E774" s="4" t="s">
        <v>31</v>
      </c>
      <c r="F774" s="4">
        <v>8</v>
      </c>
      <c r="G774" s="4">
        <v>12000</v>
      </c>
      <c r="H774" s="4">
        <v>96000</v>
      </c>
      <c r="I774" s="4">
        <v>71329.320000000007</v>
      </c>
      <c r="J774" s="4">
        <v>24670.68</v>
      </c>
      <c r="K774" s="7" t="s">
        <v>27</v>
      </c>
    </row>
    <row r="775" spans="1:11" x14ac:dyDescent="0.25">
      <c r="A775" s="6">
        <v>1774</v>
      </c>
      <c r="B775" s="5">
        <v>45995</v>
      </c>
      <c r="C775" s="4" t="s">
        <v>15</v>
      </c>
      <c r="D775" s="4" t="s">
        <v>23</v>
      </c>
      <c r="E775" s="4" t="s">
        <v>26</v>
      </c>
      <c r="F775" s="4">
        <v>6</v>
      </c>
      <c r="G775" s="4">
        <v>150</v>
      </c>
      <c r="H775" s="4">
        <v>900</v>
      </c>
      <c r="I775" s="4">
        <v>525.32000000000005</v>
      </c>
      <c r="J775" s="4">
        <v>374.68</v>
      </c>
      <c r="K775" s="7" t="s">
        <v>18</v>
      </c>
    </row>
    <row r="776" spans="1:11" x14ac:dyDescent="0.25">
      <c r="A776" s="6">
        <v>1775</v>
      </c>
      <c r="B776" s="5">
        <v>45756</v>
      </c>
      <c r="C776" s="4" t="s">
        <v>15</v>
      </c>
      <c r="D776" s="4" t="s">
        <v>16</v>
      </c>
      <c r="E776" s="4" t="s">
        <v>20</v>
      </c>
      <c r="F776" s="4">
        <v>1</v>
      </c>
      <c r="G776" s="4">
        <v>250</v>
      </c>
      <c r="H776" s="4">
        <v>250</v>
      </c>
      <c r="I776" s="4">
        <v>146.87</v>
      </c>
      <c r="J776" s="4">
        <v>103.13</v>
      </c>
      <c r="K776" s="7" t="s">
        <v>18</v>
      </c>
    </row>
    <row r="777" spans="1:11" x14ac:dyDescent="0.25">
      <c r="A777" s="6">
        <v>1776</v>
      </c>
      <c r="B777" s="5">
        <v>45977</v>
      </c>
      <c r="C777" s="4" t="s">
        <v>19</v>
      </c>
      <c r="D777" s="4" t="s">
        <v>12</v>
      </c>
      <c r="E777" s="4" t="s">
        <v>31</v>
      </c>
      <c r="F777" s="4">
        <v>7</v>
      </c>
      <c r="G777" s="4">
        <v>5000</v>
      </c>
      <c r="H777" s="4">
        <v>35000</v>
      </c>
      <c r="I777" s="4">
        <v>25251.39</v>
      </c>
      <c r="J777" s="4">
        <v>9748.61</v>
      </c>
      <c r="K777" s="7" t="s">
        <v>27</v>
      </c>
    </row>
    <row r="778" spans="1:11" x14ac:dyDescent="0.25">
      <c r="A778" s="6">
        <v>1777</v>
      </c>
      <c r="B778" s="5">
        <v>45664</v>
      </c>
      <c r="C778" s="4" t="s">
        <v>11</v>
      </c>
      <c r="D778" s="4" t="s">
        <v>16</v>
      </c>
      <c r="E778" s="4" t="s">
        <v>22</v>
      </c>
      <c r="F778" s="4">
        <v>4</v>
      </c>
      <c r="G778" s="4">
        <v>2500</v>
      </c>
      <c r="H778" s="4">
        <v>10000</v>
      </c>
      <c r="I778" s="4">
        <v>8012.46</v>
      </c>
      <c r="J778" s="4">
        <v>1987.54</v>
      </c>
      <c r="K778" s="7" t="s">
        <v>14</v>
      </c>
    </row>
    <row r="779" spans="1:11" x14ac:dyDescent="0.25">
      <c r="A779" s="6">
        <v>1778</v>
      </c>
      <c r="B779" s="5">
        <v>45842</v>
      </c>
      <c r="C779" s="4" t="s">
        <v>19</v>
      </c>
      <c r="D779" s="4" t="s">
        <v>23</v>
      </c>
      <c r="E779" s="4" t="s">
        <v>25</v>
      </c>
      <c r="F779" s="4">
        <v>8</v>
      </c>
      <c r="G779" s="4">
        <v>12000</v>
      </c>
      <c r="H779" s="4">
        <v>96000</v>
      </c>
      <c r="I779" s="4">
        <v>74267.600000000006</v>
      </c>
      <c r="J779" s="4">
        <v>21732.400000000001</v>
      </c>
      <c r="K779" s="7" t="s">
        <v>14</v>
      </c>
    </row>
    <row r="780" spans="1:11" x14ac:dyDescent="0.25">
      <c r="A780" s="6">
        <v>1779</v>
      </c>
      <c r="B780" s="5">
        <v>45928</v>
      </c>
      <c r="C780" s="4" t="s">
        <v>15</v>
      </c>
      <c r="D780" s="4" t="s">
        <v>23</v>
      </c>
      <c r="E780" s="4" t="s">
        <v>24</v>
      </c>
      <c r="F780" s="4">
        <v>1</v>
      </c>
      <c r="G780" s="4">
        <v>12000</v>
      </c>
      <c r="H780" s="4">
        <v>12000</v>
      </c>
      <c r="I780" s="4">
        <v>9191.1200000000008</v>
      </c>
      <c r="J780" s="4">
        <v>2808.88</v>
      </c>
      <c r="K780" s="7" t="s">
        <v>14</v>
      </c>
    </row>
    <row r="781" spans="1:11" x14ac:dyDescent="0.25">
      <c r="A781" s="6">
        <v>1780</v>
      </c>
      <c r="B781" s="5">
        <v>45707</v>
      </c>
      <c r="C781" s="4" t="s">
        <v>15</v>
      </c>
      <c r="D781" s="4" t="s">
        <v>16</v>
      </c>
      <c r="E781" s="4" t="s">
        <v>22</v>
      </c>
      <c r="F781" s="4">
        <v>2</v>
      </c>
      <c r="G781" s="4">
        <v>250</v>
      </c>
      <c r="H781" s="4">
        <v>500</v>
      </c>
      <c r="I781" s="4">
        <v>443.1</v>
      </c>
      <c r="J781" s="4">
        <v>56.9</v>
      </c>
      <c r="K781" s="7" t="s">
        <v>14</v>
      </c>
    </row>
    <row r="782" spans="1:11" x14ac:dyDescent="0.25">
      <c r="A782" s="6">
        <v>1781</v>
      </c>
      <c r="B782" s="5">
        <v>45994</v>
      </c>
      <c r="C782" s="4" t="s">
        <v>11</v>
      </c>
      <c r="D782" s="4" t="s">
        <v>16</v>
      </c>
      <c r="E782" s="4" t="s">
        <v>17</v>
      </c>
      <c r="F782" s="4">
        <v>7</v>
      </c>
      <c r="G782" s="4">
        <v>250</v>
      </c>
      <c r="H782" s="4">
        <v>1750</v>
      </c>
      <c r="I782" s="4">
        <v>1080.79</v>
      </c>
      <c r="J782" s="4">
        <v>669.21</v>
      </c>
      <c r="K782" s="7" t="s">
        <v>29</v>
      </c>
    </row>
    <row r="783" spans="1:11" x14ac:dyDescent="0.25">
      <c r="A783" s="6">
        <v>1782</v>
      </c>
      <c r="B783" s="5">
        <v>45712</v>
      </c>
      <c r="C783" s="4" t="s">
        <v>19</v>
      </c>
      <c r="D783" s="4" t="s">
        <v>12</v>
      </c>
      <c r="E783" s="4" t="s">
        <v>13</v>
      </c>
      <c r="F783" s="4">
        <v>9</v>
      </c>
      <c r="G783" s="4">
        <v>5000</v>
      </c>
      <c r="H783" s="4">
        <v>45000</v>
      </c>
      <c r="I783" s="4">
        <v>33540.730000000003</v>
      </c>
      <c r="J783" s="4">
        <v>11459.27</v>
      </c>
      <c r="K783" s="7" t="s">
        <v>27</v>
      </c>
    </row>
    <row r="784" spans="1:11" x14ac:dyDescent="0.25">
      <c r="A784" s="6">
        <v>1783</v>
      </c>
      <c r="B784" s="5">
        <v>45750</v>
      </c>
      <c r="C784" s="4" t="s">
        <v>19</v>
      </c>
      <c r="D784" s="4" t="s">
        <v>12</v>
      </c>
      <c r="E784" s="4" t="s">
        <v>33</v>
      </c>
      <c r="F784" s="4">
        <v>7</v>
      </c>
      <c r="G784" s="4">
        <v>150</v>
      </c>
      <c r="H784" s="4">
        <v>1050</v>
      </c>
      <c r="I784" s="4">
        <v>638.79999999999995</v>
      </c>
      <c r="J784" s="4">
        <v>411.2</v>
      </c>
      <c r="K784" s="7" t="s">
        <v>21</v>
      </c>
    </row>
    <row r="785" spans="1:11" x14ac:dyDescent="0.25">
      <c r="A785" s="6">
        <v>1784</v>
      </c>
      <c r="B785" s="5">
        <v>45884</v>
      </c>
      <c r="C785" s="4" t="s">
        <v>32</v>
      </c>
      <c r="D785" s="4" t="s">
        <v>12</v>
      </c>
      <c r="E785" s="4" t="s">
        <v>33</v>
      </c>
      <c r="F785" s="4">
        <v>3</v>
      </c>
      <c r="G785" s="4">
        <v>2500</v>
      </c>
      <c r="H785" s="4">
        <v>7500</v>
      </c>
      <c r="I785" s="4">
        <v>6745.89</v>
      </c>
      <c r="J785" s="4">
        <v>754.11</v>
      </c>
      <c r="K785" s="7" t="s">
        <v>27</v>
      </c>
    </row>
    <row r="786" spans="1:11" x14ac:dyDescent="0.25">
      <c r="A786" s="6">
        <v>1785</v>
      </c>
      <c r="B786" s="5">
        <v>45878</v>
      </c>
      <c r="C786" s="4" t="s">
        <v>32</v>
      </c>
      <c r="D786" s="4" t="s">
        <v>12</v>
      </c>
      <c r="E786" s="4" t="s">
        <v>33</v>
      </c>
      <c r="F786" s="4">
        <v>6</v>
      </c>
      <c r="G786" s="4">
        <v>1200</v>
      </c>
      <c r="H786" s="4">
        <v>7200</v>
      </c>
      <c r="I786" s="4">
        <v>5885.74</v>
      </c>
      <c r="J786" s="4">
        <v>1314.26</v>
      </c>
      <c r="K786" s="7" t="s">
        <v>29</v>
      </c>
    </row>
    <row r="787" spans="1:11" x14ac:dyDescent="0.25">
      <c r="A787" s="6">
        <v>1786</v>
      </c>
      <c r="B787" s="5">
        <v>45939</v>
      </c>
      <c r="C787" s="4" t="s">
        <v>32</v>
      </c>
      <c r="D787" s="4" t="s">
        <v>16</v>
      </c>
      <c r="E787" s="4" t="s">
        <v>17</v>
      </c>
      <c r="F787" s="4">
        <v>9</v>
      </c>
      <c r="G787" s="4">
        <v>250</v>
      </c>
      <c r="H787" s="4">
        <v>2250</v>
      </c>
      <c r="I787" s="4">
        <v>1532.86</v>
      </c>
      <c r="J787" s="4">
        <v>717.14</v>
      </c>
      <c r="K787" s="7" t="s">
        <v>27</v>
      </c>
    </row>
    <row r="788" spans="1:11" x14ac:dyDescent="0.25">
      <c r="A788" s="6">
        <v>1787</v>
      </c>
      <c r="B788" s="5">
        <v>45803</v>
      </c>
      <c r="C788" s="4" t="s">
        <v>19</v>
      </c>
      <c r="D788" s="4" t="s">
        <v>23</v>
      </c>
      <c r="E788" s="4" t="s">
        <v>24</v>
      </c>
      <c r="F788" s="4">
        <v>7</v>
      </c>
      <c r="G788" s="4">
        <v>150</v>
      </c>
      <c r="H788" s="4">
        <v>1050</v>
      </c>
      <c r="I788" s="4">
        <v>844.42</v>
      </c>
      <c r="J788" s="4">
        <v>205.58</v>
      </c>
      <c r="K788" s="7" t="s">
        <v>18</v>
      </c>
    </row>
    <row r="789" spans="1:11" x14ac:dyDescent="0.25">
      <c r="A789" s="6">
        <v>1788</v>
      </c>
      <c r="B789" s="5">
        <v>45771</v>
      </c>
      <c r="C789" s="4" t="s">
        <v>11</v>
      </c>
      <c r="D789" s="4" t="s">
        <v>12</v>
      </c>
      <c r="E789" s="4" t="s">
        <v>13</v>
      </c>
      <c r="F789" s="4">
        <v>5</v>
      </c>
      <c r="G789" s="4">
        <v>150</v>
      </c>
      <c r="H789" s="4">
        <v>750</v>
      </c>
      <c r="I789" s="4">
        <v>491.34</v>
      </c>
      <c r="J789" s="4">
        <v>258.66000000000003</v>
      </c>
      <c r="K789" s="7" t="s">
        <v>27</v>
      </c>
    </row>
    <row r="790" spans="1:11" x14ac:dyDescent="0.25">
      <c r="A790" s="6">
        <v>1789</v>
      </c>
      <c r="B790" s="5">
        <v>45950</v>
      </c>
      <c r="C790" s="4" t="s">
        <v>19</v>
      </c>
      <c r="D790" s="4" t="s">
        <v>16</v>
      </c>
      <c r="E790" s="4" t="s">
        <v>17</v>
      </c>
      <c r="F790" s="4">
        <v>5</v>
      </c>
      <c r="G790" s="4">
        <v>2500</v>
      </c>
      <c r="H790" s="4">
        <v>12500</v>
      </c>
      <c r="I790" s="4">
        <v>9111.81</v>
      </c>
      <c r="J790" s="4">
        <v>3388.19</v>
      </c>
      <c r="K790" s="7" t="s">
        <v>28</v>
      </c>
    </row>
    <row r="791" spans="1:11" x14ac:dyDescent="0.25">
      <c r="A791" s="6">
        <v>1790</v>
      </c>
      <c r="B791" s="5">
        <v>45793</v>
      </c>
      <c r="C791" s="4" t="s">
        <v>32</v>
      </c>
      <c r="D791" s="4" t="s">
        <v>16</v>
      </c>
      <c r="E791" s="4" t="s">
        <v>20</v>
      </c>
      <c r="F791" s="4">
        <v>8</v>
      </c>
      <c r="G791" s="4">
        <v>500</v>
      </c>
      <c r="H791" s="4">
        <v>4000</v>
      </c>
      <c r="I791" s="4">
        <v>2418.5500000000002</v>
      </c>
      <c r="J791" s="4">
        <v>1581.45</v>
      </c>
      <c r="K791" s="7" t="s">
        <v>29</v>
      </c>
    </row>
    <row r="792" spans="1:11" x14ac:dyDescent="0.25">
      <c r="A792" s="6">
        <v>1791</v>
      </c>
      <c r="B792" s="5">
        <v>45950</v>
      </c>
      <c r="C792" s="4" t="s">
        <v>30</v>
      </c>
      <c r="D792" s="4" t="s">
        <v>16</v>
      </c>
      <c r="E792" s="4" t="s">
        <v>20</v>
      </c>
      <c r="F792" s="4">
        <v>5</v>
      </c>
      <c r="G792" s="4">
        <v>12000</v>
      </c>
      <c r="H792" s="4">
        <v>60000</v>
      </c>
      <c r="I792" s="4">
        <v>39306.35</v>
      </c>
      <c r="J792" s="4">
        <v>20693.650000000001</v>
      </c>
      <c r="K792" s="7" t="s">
        <v>29</v>
      </c>
    </row>
    <row r="793" spans="1:11" x14ac:dyDescent="0.25">
      <c r="A793" s="6">
        <v>1792</v>
      </c>
      <c r="B793" s="5">
        <v>45905</v>
      </c>
      <c r="C793" s="4" t="s">
        <v>11</v>
      </c>
      <c r="D793" s="4" t="s">
        <v>16</v>
      </c>
      <c r="E793" s="4" t="s">
        <v>17</v>
      </c>
      <c r="F793" s="4">
        <v>2</v>
      </c>
      <c r="G793" s="4">
        <v>5000</v>
      </c>
      <c r="H793" s="4">
        <v>10000</v>
      </c>
      <c r="I793" s="4">
        <v>6636.42</v>
      </c>
      <c r="J793" s="4">
        <v>3363.58</v>
      </c>
      <c r="K793" s="7" t="s">
        <v>21</v>
      </c>
    </row>
    <row r="794" spans="1:11" x14ac:dyDescent="0.25">
      <c r="A794" s="6">
        <v>1793</v>
      </c>
      <c r="B794" s="5">
        <v>45962</v>
      </c>
      <c r="C794" s="4" t="s">
        <v>32</v>
      </c>
      <c r="D794" s="4" t="s">
        <v>12</v>
      </c>
      <c r="E794" s="4" t="s">
        <v>31</v>
      </c>
      <c r="F794" s="4">
        <v>10</v>
      </c>
      <c r="G794" s="4">
        <v>12000</v>
      </c>
      <c r="H794" s="4">
        <v>120000</v>
      </c>
      <c r="I794" s="4">
        <v>104121.54</v>
      </c>
      <c r="J794" s="4">
        <v>15878.46</v>
      </c>
      <c r="K794" s="7" t="s">
        <v>18</v>
      </c>
    </row>
    <row r="795" spans="1:11" x14ac:dyDescent="0.25">
      <c r="A795" s="6">
        <v>1794</v>
      </c>
      <c r="B795" s="5">
        <v>45829</v>
      </c>
      <c r="C795" s="4" t="s">
        <v>32</v>
      </c>
      <c r="D795" s="4" t="s">
        <v>12</v>
      </c>
      <c r="E795" s="4" t="s">
        <v>31</v>
      </c>
      <c r="F795" s="4">
        <v>7</v>
      </c>
      <c r="G795" s="4">
        <v>150</v>
      </c>
      <c r="H795" s="4">
        <v>1050</v>
      </c>
      <c r="I795" s="4">
        <v>864.19</v>
      </c>
      <c r="J795" s="4">
        <v>185.81</v>
      </c>
      <c r="K795" s="7" t="s">
        <v>21</v>
      </c>
    </row>
    <row r="796" spans="1:11" x14ac:dyDescent="0.25">
      <c r="A796" s="6">
        <v>1795</v>
      </c>
      <c r="B796" s="5">
        <v>45966</v>
      </c>
      <c r="C796" s="4" t="s">
        <v>15</v>
      </c>
      <c r="D796" s="4" t="s">
        <v>23</v>
      </c>
      <c r="E796" s="4" t="s">
        <v>25</v>
      </c>
      <c r="F796" s="4">
        <v>4</v>
      </c>
      <c r="G796" s="4">
        <v>5000</v>
      </c>
      <c r="H796" s="4">
        <v>20000</v>
      </c>
      <c r="I796" s="4">
        <v>15569.45</v>
      </c>
      <c r="J796" s="4">
        <v>4430.55</v>
      </c>
      <c r="K796" s="7" t="s">
        <v>14</v>
      </c>
    </row>
    <row r="797" spans="1:11" x14ac:dyDescent="0.25">
      <c r="A797" s="6">
        <v>1796</v>
      </c>
      <c r="B797" s="5">
        <v>45821</v>
      </c>
      <c r="C797" s="4" t="s">
        <v>19</v>
      </c>
      <c r="D797" s="4" t="s">
        <v>12</v>
      </c>
      <c r="E797" s="4" t="s">
        <v>33</v>
      </c>
      <c r="F797" s="4">
        <v>1</v>
      </c>
      <c r="G797" s="4">
        <v>500</v>
      </c>
      <c r="H797" s="4">
        <v>500</v>
      </c>
      <c r="I797" s="4">
        <v>366.77</v>
      </c>
      <c r="J797" s="4">
        <v>133.22999999999999</v>
      </c>
      <c r="K797" s="7" t="s">
        <v>29</v>
      </c>
    </row>
    <row r="798" spans="1:11" x14ac:dyDescent="0.25">
      <c r="A798" s="6">
        <v>1797</v>
      </c>
      <c r="B798" s="5">
        <v>45683</v>
      </c>
      <c r="C798" s="4" t="s">
        <v>30</v>
      </c>
      <c r="D798" s="4" t="s">
        <v>16</v>
      </c>
      <c r="E798" s="4" t="s">
        <v>22</v>
      </c>
      <c r="F798" s="4">
        <v>9</v>
      </c>
      <c r="G798" s="4">
        <v>5000</v>
      </c>
      <c r="H798" s="4">
        <v>45000</v>
      </c>
      <c r="I798" s="4">
        <v>28227.56</v>
      </c>
      <c r="J798" s="4">
        <v>16772.439999999999</v>
      </c>
      <c r="K798" s="7" t="s">
        <v>21</v>
      </c>
    </row>
    <row r="799" spans="1:11" x14ac:dyDescent="0.25">
      <c r="A799" s="6">
        <v>1798</v>
      </c>
      <c r="B799" s="5">
        <v>45806</v>
      </c>
      <c r="C799" s="4" t="s">
        <v>30</v>
      </c>
      <c r="D799" s="4" t="s">
        <v>12</v>
      </c>
      <c r="E799" s="4" t="s">
        <v>31</v>
      </c>
      <c r="F799" s="4">
        <v>9</v>
      </c>
      <c r="G799" s="4">
        <v>150</v>
      </c>
      <c r="H799" s="4">
        <v>1350</v>
      </c>
      <c r="I799" s="4">
        <v>847.44</v>
      </c>
      <c r="J799" s="4">
        <v>502.56</v>
      </c>
      <c r="K799" s="7" t="s">
        <v>28</v>
      </c>
    </row>
    <row r="800" spans="1:11" x14ac:dyDescent="0.25">
      <c r="A800" s="6">
        <v>1799</v>
      </c>
      <c r="B800" s="5">
        <v>45683</v>
      </c>
      <c r="C800" s="4" t="s">
        <v>19</v>
      </c>
      <c r="D800" s="4" t="s">
        <v>16</v>
      </c>
      <c r="E800" s="4" t="s">
        <v>22</v>
      </c>
      <c r="F800" s="4">
        <v>2</v>
      </c>
      <c r="G800" s="4">
        <v>1200</v>
      </c>
      <c r="H800" s="4">
        <v>2400</v>
      </c>
      <c r="I800" s="4">
        <v>1800.01</v>
      </c>
      <c r="J800" s="4">
        <v>599.99</v>
      </c>
      <c r="K800" s="7" t="s">
        <v>21</v>
      </c>
    </row>
    <row r="801" spans="1:11" x14ac:dyDescent="0.25">
      <c r="A801" s="6">
        <v>1800</v>
      </c>
      <c r="B801" s="5">
        <v>46015</v>
      </c>
      <c r="C801" s="4" t="s">
        <v>11</v>
      </c>
      <c r="D801" s="4" t="s">
        <v>23</v>
      </c>
      <c r="E801" s="4" t="s">
        <v>25</v>
      </c>
      <c r="F801" s="4">
        <v>7</v>
      </c>
      <c r="G801" s="4">
        <v>2500</v>
      </c>
      <c r="H801" s="4">
        <v>17500</v>
      </c>
      <c r="I801" s="4">
        <v>12286.26</v>
      </c>
      <c r="J801" s="4">
        <v>5213.74</v>
      </c>
      <c r="K801" s="7" t="s">
        <v>28</v>
      </c>
    </row>
    <row r="802" spans="1:11" x14ac:dyDescent="0.25">
      <c r="A802" s="6">
        <v>1801</v>
      </c>
      <c r="B802" s="5">
        <v>45950</v>
      </c>
      <c r="C802" s="4" t="s">
        <v>11</v>
      </c>
      <c r="D802" s="4" t="s">
        <v>23</v>
      </c>
      <c r="E802" s="4" t="s">
        <v>26</v>
      </c>
      <c r="F802" s="4">
        <v>4</v>
      </c>
      <c r="G802" s="4">
        <v>1200</v>
      </c>
      <c r="H802" s="4">
        <v>4800</v>
      </c>
      <c r="I802" s="4">
        <v>3304.14</v>
      </c>
      <c r="J802" s="4">
        <v>1495.86</v>
      </c>
      <c r="K802" s="7" t="s">
        <v>29</v>
      </c>
    </row>
    <row r="803" spans="1:11" x14ac:dyDescent="0.25">
      <c r="A803" s="6">
        <v>1802</v>
      </c>
      <c r="B803" s="5">
        <v>45794</v>
      </c>
      <c r="C803" s="4" t="s">
        <v>30</v>
      </c>
      <c r="D803" s="4" t="s">
        <v>12</v>
      </c>
      <c r="E803" s="4" t="s">
        <v>31</v>
      </c>
      <c r="F803" s="4">
        <v>9</v>
      </c>
      <c r="G803" s="4">
        <v>250</v>
      </c>
      <c r="H803" s="4">
        <v>2250</v>
      </c>
      <c r="I803" s="4">
        <v>1428.32</v>
      </c>
      <c r="J803" s="4">
        <v>821.68</v>
      </c>
      <c r="K803" s="7" t="s">
        <v>27</v>
      </c>
    </row>
    <row r="804" spans="1:11" x14ac:dyDescent="0.25">
      <c r="A804" s="6">
        <v>1803</v>
      </c>
      <c r="B804" s="5">
        <v>45874</v>
      </c>
      <c r="C804" s="4" t="s">
        <v>32</v>
      </c>
      <c r="D804" s="4" t="s">
        <v>12</v>
      </c>
      <c r="E804" s="4" t="s">
        <v>31</v>
      </c>
      <c r="F804" s="4">
        <v>2</v>
      </c>
      <c r="G804" s="4">
        <v>150</v>
      </c>
      <c r="H804" s="4">
        <v>300</v>
      </c>
      <c r="I804" s="4">
        <v>235.53</v>
      </c>
      <c r="J804" s="4">
        <v>64.47</v>
      </c>
      <c r="K804" s="7" t="s">
        <v>27</v>
      </c>
    </row>
    <row r="805" spans="1:11" x14ac:dyDescent="0.25">
      <c r="A805" s="6">
        <v>1804</v>
      </c>
      <c r="B805" s="5">
        <v>45814</v>
      </c>
      <c r="C805" s="4" t="s">
        <v>11</v>
      </c>
      <c r="D805" s="4" t="s">
        <v>16</v>
      </c>
      <c r="E805" s="4" t="s">
        <v>22</v>
      </c>
      <c r="F805" s="4">
        <v>6</v>
      </c>
      <c r="G805" s="4">
        <v>2500</v>
      </c>
      <c r="H805" s="4">
        <v>15000</v>
      </c>
      <c r="I805" s="4">
        <v>11690.9</v>
      </c>
      <c r="J805" s="4">
        <v>3309.1</v>
      </c>
      <c r="K805" s="7" t="s">
        <v>27</v>
      </c>
    </row>
    <row r="806" spans="1:11" x14ac:dyDescent="0.25">
      <c r="A806" s="6">
        <v>1805</v>
      </c>
      <c r="B806" s="5">
        <v>45777</v>
      </c>
      <c r="C806" s="4" t="s">
        <v>11</v>
      </c>
      <c r="D806" s="4" t="s">
        <v>12</v>
      </c>
      <c r="E806" s="4" t="s">
        <v>33</v>
      </c>
      <c r="F806" s="4">
        <v>10</v>
      </c>
      <c r="G806" s="4">
        <v>250</v>
      </c>
      <c r="H806" s="4">
        <v>2500</v>
      </c>
      <c r="I806" s="4">
        <v>1760.41</v>
      </c>
      <c r="J806" s="4">
        <v>739.59</v>
      </c>
      <c r="K806" s="7" t="s">
        <v>14</v>
      </c>
    </row>
    <row r="807" spans="1:11" x14ac:dyDescent="0.25">
      <c r="A807" s="6">
        <v>1806</v>
      </c>
      <c r="B807" s="5">
        <v>45782</v>
      </c>
      <c r="C807" s="4" t="s">
        <v>19</v>
      </c>
      <c r="D807" s="4" t="s">
        <v>23</v>
      </c>
      <c r="E807" s="4" t="s">
        <v>25</v>
      </c>
      <c r="F807" s="4">
        <v>2</v>
      </c>
      <c r="G807" s="4">
        <v>150</v>
      </c>
      <c r="H807" s="4">
        <v>300</v>
      </c>
      <c r="I807" s="4">
        <v>242.66</v>
      </c>
      <c r="J807" s="4">
        <v>57.34</v>
      </c>
      <c r="K807" s="7" t="s">
        <v>28</v>
      </c>
    </row>
    <row r="808" spans="1:11" x14ac:dyDescent="0.25">
      <c r="A808" s="6">
        <v>1807</v>
      </c>
      <c r="B808" s="5">
        <v>45814</v>
      </c>
      <c r="C808" s="4" t="s">
        <v>30</v>
      </c>
      <c r="D808" s="4" t="s">
        <v>23</v>
      </c>
      <c r="E808" s="4" t="s">
        <v>25</v>
      </c>
      <c r="F808" s="4">
        <v>6</v>
      </c>
      <c r="G808" s="4">
        <v>5000</v>
      </c>
      <c r="H808" s="4">
        <v>30000</v>
      </c>
      <c r="I808" s="4">
        <v>24944.95</v>
      </c>
      <c r="J808" s="4">
        <v>5055.05</v>
      </c>
      <c r="K808" s="7" t="s">
        <v>21</v>
      </c>
    </row>
    <row r="809" spans="1:11" x14ac:dyDescent="0.25">
      <c r="A809" s="6">
        <v>1808</v>
      </c>
      <c r="B809" s="5">
        <v>45762</v>
      </c>
      <c r="C809" s="4" t="s">
        <v>19</v>
      </c>
      <c r="D809" s="4" t="s">
        <v>16</v>
      </c>
      <c r="E809" s="4" t="s">
        <v>22</v>
      </c>
      <c r="F809" s="4">
        <v>4</v>
      </c>
      <c r="G809" s="4">
        <v>5000</v>
      </c>
      <c r="H809" s="4">
        <v>20000</v>
      </c>
      <c r="I809" s="4">
        <v>14766.04</v>
      </c>
      <c r="J809" s="4">
        <v>5233.96</v>
      </c>
      <c r="K809" s="7" t="s">
        <v>29</v>
      </c>
    </row>
    <row r="810" spans="1:11" x14ac:dyDescent="0.25">
      <c r="A810" s="6">
        <v>1809</v>
      </c>
      <c r="B810" s="5">
        <v>45730</v>
      </c>
      <c r="C810" s="4" t="s">
        <v>15</v>
      </c>
      <c r="D810" s="4" t="s">
        <v>23</v>
      </c>
      <c r="E810" s="4" t="s">
        <v>26</v>
      </c>
      <c r="F810" s="4">
        <v>8</v>
      </c>
      <c r="G810" s="4">
        <v>2500</v>
      </c>
      <c r="H810" s="4">
        <v>20000</v>
      </c>
      <c r="I810" s="4">
        <v>16109.47</v>
      </c>
      <c r="J810" s="4">
        <v>3890.53</v>
      </c>
      <c r="K810" s="7" t="s">
        <v>21</v>
      </c>
    </row>
    <row r="811" spans="1:11" x14ac:dyDescent="0.25">
      <c r="A811" s="6">
        <v>1810</v>
      </c>
      <c r="B811" s="5">
        <v>45688</v>
      </c>
      <c r="C811" s="4" t="s">
        <v>32</v>
      </c>
      <c r="D811" s="4" t="s">
        <v>12</v>
      </c>
      <c r="E811" s="4" t="s">
        <v>31</v>
      </c>
      <c r="F811" s="4">
        <v>9</v>
      </c>
      <c r="G811" s="4">
        <v>150</v>
      </c>
      <c r="H811" s="4">
        <v>1350</v>
      </c>
      <c r="I811" s="4">
        <v>863.2</v>
      </c>
      <c r="J811" s="4">
        <v>486.8</v>
      </c>
      <c r="K811" s="7" t="s">
        <v>28</v>
      </c>
    </row>
    <row r="812" spans="1:11" x14ac:dyDescent="0.25">
      <c r="A812" s="6">
        <v>1811</v>
      </c>
      <c r="B812" s="5">
        <v>45662</v>
      </c>
      <c r="C812" s="4" t="s">
        <v>15</v>
      </c>
      <c r="D812" s="4" t="s">
        <v>12</v>
      </c>
      <c r="E812" s="4" t="s">
        <v>31</v>
      </c>
      <c r="F812" s="4">
        <v>5</v>
      </c>
      <c r="G812" s="4">
        <v>150</v>
      </c>
      <c r="H812" s="4">
        <v>750</v>
      </c>
      <c r="I812" s="4">
        <v>534.54999999999995</v>
      </c>
      <c r="J812" s="4">
        <v>215.45</v>
      </c>
      <c r="K812" s="7" t="s">
        <v>21</v>
      </c>
    </row>
    <row r="813" spans="1:11" x14ac:dyDescent="0.25">
      <c r="A813" s="6">
        <v>1812</v>
      </c>
      <c r="B813" s="5">
        <v>45807</v>
      </c>
      <c r="C813" s="4" t="s">
        <v>30</v>
      </c>
      <c r="D813" s="4" t="s">
        <v>12</v>
      </c>
      <c r="E813" s="4" t="s">
        <v>33</v>
      </c>
      <c r="F813" s="4">
        <v>6</v>
      </c>
      <c r="G813" s="4">
        <v>12000</v>
      </c>
      <c r="H813" s="4">
        <v>72000</v>
      </c>
      <c r="I813" s="4">
        <v>42318.86</v>
      </c>
      <c r="J813" s="4">
        <v>29681.14</v>
      </c>
      <c r="K813" s="7" t="s">
        <v>28</v>
      </c>
    </row>
    <row r="814" spans="1:11" x14ac:dyDescent="0.25">
      <c r="A814" s="6">
        <v>1813</v>
      </c>
      <c r="B814" s="5">
        <v>45963</v>
      </c>
      <c r="C814" s="4" t="s">
        <v>19</v>
      </c>
      <c r="D814" s="4" t="s">
        <v>23</v>
      </c>
      <c r="E814" s="4" t="s">
        <v>26</v>
      </c>
      <c r="F814" s="4">
        <v>2</v>
      </c>
      <c r="G814" s="4">
        <v>500</v>
      </c>
      <c r="H814" s="4">
        <v>1000</v>
      </c>
      <c r="I814" s="4">
        <v>719.63</v>
      </c>
      <c r="J814" s="4">
        <v>280.37</v>
      </c>
      <c r="K814" s="7" t="s">
        <v>18</v>
      </c>
    </row>
    <row r="815" spans="1:11" x14ac:dyDescent="0.25">
      <c r="A815" s="6">
        <v>1814</v>
      </c>
      <c r="B815" s="5">
        <v>46022</v>
      </c>
      <c r="C815" s="4" t="s">
        <v>15</v>
      </c>
      <c r="D815" s="4" t="s">
        <v>16</v>
      </c>
      <c r="E815" s="4" t="s">
        <v>20</v>
      </c>
      <c r="F815" s="4">
        <v>9</v>
      </c>
      <c r="G815" s="4">
        <v>1200</v>
      </c>
      <c r="H815" s="4">
        <v>10800</v>
      </c>
      <c r="I815" s="4">
        <v>8059.4</v>
      </c>
      <c r="J815" s="4">
        <v>2740.6</v>
      </c>
      <c r="K815" s="7" t="s">
        <v>18</v>
      </c>
    </row>
    <row r="816" spans="1:11" x14ac:dyDescent="0.25">
      <c r="A816" s="6">
        <v>1815</v>
      </c>
      <c r="B816" s="5">
        <v>45738</v>
      </c>
      <c r="C816" s="4" t="s">
        <v>15</v>
      </c>
      <c r="D816" s="4" t="s">
        <v>16</v>
      </c>
      <c r="E816" s="4" t="s">
        <v>17</v>
      </c>
      <c r="F816" s="4">
        <v>5</v>
      </c>
      <c r="G816" s="4">
        <v>500</v>
      </c>
      <c r="H816" s="4">
        <v>2500</v>
      </c>
      <c r="I816" s="4">
        <v>1803.69</v>
      </c>
      <c r="J816" s="4">
        <v>696.31</v>
      </c>
      <c r="K816" s="7" t="s">
        <v>27</v>
      </c>
    </row>
    <row r="817" spans="1:11" x14ac:dyDescent="0.25">
      <c r="A817" s="6">
        <v>1816</v>
      </c>
      <c r="B817" s="5">
        <v>45914</v>
      </c>
      <c r="C817" s="4" t="s">
        <v>32</v>
      </c>
      <c r="D817" s="4" t="s">
        <v>12</v>
      </c>
      <c r="E817" s="4" t="s">
        <v>33</v>
      </c>
      <c r="F817" s="4">
        <v>6</v>
      </c>
      <c r="G817" s="4">
        <v>5000</v>
      </c>
      <c r="H817" s="4">
        <v>30000</v>
      </c>
      <c r="I817" s="4">
        <v>19674.43</v>
      </c>
      <c r="J817" s="4">
        <v>10325.57</v>
      </c>
      <c r="K817" s="7" t="s">
        <v>18</v>
      </c>
    </row>
    <row r="818" spans="1:11" x14ac:dyDescent="0.25">
      <c r="A818" s="6">
        <v>1817</v>
      </c>
      <c r="B818" s="5">
        <v>45942</v>
      </c>
      <c r="C818" s="4" t="s">
        <v>32</v>
      </c>
      <c r="D818" s="4" t="s">
        <v>12</v>
      </c>
      <c r="E818" s="4" t="s">
        <v>33</v>
      </c>
      <c r="F818" s="4">
        <v>7</v>
      </c>
      <c r="G818" s="4">
        <v>12000</v>
      </c>
      <c r="H818" s="4">
        <v>84000</v>
      </c>
      <c r="I818" s="4">
        <v>75316.63</v>
      </c>
      <c r="J818" s="4">
        <v>8683.3700000000008</v>
      </c>
      <c r="K818" s="7" t="s">
        <v>28</v>
      </c>
    </row>
    <row r="819" spans="1:11" x14ac:dyDescent="0.25">
      <c r="A819" s="6">
        <v>1818</v>
      </c>
      <c r="B819" s="5">
        <v>45853</v>
      </c>
      <c r="C819" s="4" t="s">
        <v>19</v>
      </c>
      <c r="D819" s="4" t="s">
        <v>16</v>
      </c>
      <c r="E819" s="4" t="s">
        <v>22</v>
      </c>
      <c r="F819" s="4">
        <v>7</v>
      </c>
      <c r="G819" s="4">
        <v>5000</v>
      </c>
      <c r="H819" s="4">
        <v>35000</v>
      </c>
      <c r="I819" s="4">
        <v>20931.439999999999</v>
      </c>
      <c r="J819" s="4">
        <v>14068.56</v>
      </c>
      <c r="K819" s="7" t="s">
        <v>14</v>
      </c>
    </row>
    <row r="820" spans="1:11" x14ac:dyDescent="0.25">
      <c r="A820" s="6">
        <v>1819</v>
      </c>
      <c r="B820" s="5">
        <v>45736</v>
      </c>
      <c r="C820" s="4" t="s">
        <v>30</v>
      </c>
      <c r="D820" s="4" t="s">
        <v>12</v>
      </c>
      <c r="E820" s="4" t="s">
        <v>31</v>
      </c>
      <c r="F820" s="4">
        <v>4</v>
      </c>
      <c r="G820" s="4">
        <v>1200</v>
      </c>
      <c r="H820" s="4">
        <v>4800</v>
      </c>
      <c r="I820" s="4">
        <v>3043.81</v>
      </c>
      <c r="J820" s="4">
        <v>1756.19</v>
      </c>
      <c r="K820" s="7" t="s">
        <v>27</v>
      </c>
    </row>
    <row r="821" spans="1:11" x14ac:dyDescent="0.25">
      <c r="A821" s="6">
        <v>1820</v>
      </c>
      <c r="B821" s="5">
        <v>45992</v>
      </c>
      <c r="C821" s="4" t="s">
        <v>11</v>
      </c>
      <c r="D821" s="4" t="s">
        <v>12</v>
      </c>
      <c r="E821" s="4" t="s">
        <v>33</v>
      </c>
      <c r="F821" s="4">
        <v>8</v>
      </c>
      <c r="G821" s="4">
        <v>2500</v>
      </c>
      <c r="H821" s="4">
        <v>20000</v>
      </c>
      <c r="I821" s="4">
        <v>11922.4</v>
      </c>
      <c r="J821" s="4">
        <v>8077.6</v>
      </c>
      <c r="K821" s="7" t="s">
        <v>29</v>
      </c>
    </row>
    <row r="822" spans="1:11" x14ac:dyDescent="0.25">
      <c r="A822" s="6">
        <v>1821</v>
      </c>
      <c r="B822" s="5">
        <v>46010</v>
      </c>
      <c r="C822" s="4" t="s">
        <v>19</v>
      </c>
      <c r="D822" s="4" t="s">
        <v>12</v>
      </c>
      <c r="E822" s="4" t="s">
        <v>31</v>
      </c>
      <c r="F822" s="4">
        <v>4</v>
      </c>
      <c r="G822" s="4">
        <v>12000</v>
      </c>
      <c r="H822" s="4">
        <v>48000</v>
      </c>
      <c r="I822" s="4">
        <v>28720.240000000002</v>
      </c>
      <c r="J822" s="4">
        <v>19279.759999999998</v>
      </c>
      <c r="K822" s="7" t="s">
        <v>28</v>
      </c>
    </row>
    <row r="823" spans="1:11" x14ac:dyDescent="0.25">
      <c r="A823" s="6">
        <v>1822</v>
      </c>
      <c r="B823" s="5">
        <v>45943</v>
      </c>
      <c r="C823" s="4" t="s">
        <v>19</v>
      </c>
      <c r="D823" s="4" t="s">
        <v>23</v>
      </c>
      <c r="E823" s="4" t="s">
        <v>25</v>
      </c>
      <c r="F823" s="4">
        <v>10</v>
      </c>
      <c r="G823" s="4">
        <v>250</v>
      </c>
      <c r="H823" s="4">
        <v>2500</v>
      </c>
      <c r="I823" s="4">
        <v>1652.81</v>
      </c>
      <c r="J823" s="4">
        <v>847.19</v>
      </c>
      <c r="K823" s="7" t="s">
        <v>14</v>
      </c>
    </row>
    <row r="824" spans="1:11" x14ac:dyDescent="0.25">
      <c r="A824" s="6">
        <v>1823</v>
      </c>
      <c r="B824" s="5">
        <v>45673</v>
      </c>
      <c r="C824" s="4" t="s">
        <v>32</v>
      </c>
      <c r="D824" s="4" t="s">
        <v>16</v>
      </c>
      <c r="E824" s="4" t="s">
        <v>20</v>
      </c>
      <c r="F824" s="4">
        <v>6</v>
      </c>
      <c r="G824" s="4">
        <v>12000</v>
      </c>
      <c r="H824" s="4">
        <v>72000</v>
      </c>
      <c r="I824" s="4">
        <v>61766.879999999997</v>
      </c>
      <c r="J824" s="4">
        <v>10233.120000000001</v>
      </c>
      <c r="K824" s="7" t="s">
        <v>21</v>
      </c>
    </row>
    <row r="825" spans="1:11" x14ac:dyDescent="0.25">
      <c r="A825" s="6">
        <v>1824</v>
      </c>
      <c r="B825" s="5">
        <v>45984</v>
      </c>
      <c r="C825" s="4" t="s">
        <v>32</v>
      </c>
      <c r="D825" s="4" t="s">
        <v>23</v>
      </c>
      <c r="E825" s="4" t="s">
        <v>24</v>
      </c>
      <c r="F825" s="4">
        <v>8</v>
      </c>
      <c r="G825" s="4">
        <v>5000</v>
      </c>
      <c r="H825" s="4">
        <v>40000</v>
      </c>
      <c r="I825" s="4">
        <v>35072.76</v>
      </c>
      <c r="J825" s="4">
        <v>4927.24</v>
      </c>
      <c r="K825" s="7" t="s">
        <v>28</v>
      </c>
    </row>
    <row r="826" spans="1:11" x14ac:dyDescent="0.25">
      <c r="A826" s="6">
        <v>1825</v>
      </c>
      <c r="B826" s="5">
        <v>45971</v>
      </c>
      <c r="C826" s="4" t="s">
        <v>19</v>
      </c>
      <c r="D826" s="4" t="s">
        <v>16</v>
      </c>
      <c r="E826" s="4" t="s">
        <v>20</v>
      </c>
      <c r="F826" s="4">
        <v>3</v>
      </c>
      <c r="G826" s="4">
        <v>250</v>
      </c>
      <c r="H826" s="4">
        <v>750</v>
      </c>
      <c r="I826" s="4">
        <v>419.38</v>
      </c>
      <c r="J826" s="4">
        <v>330.62</v>
      </c>
      <c r="K826" s="7" t="s">
        <v>27</v>
      </c>
    </row>
    <row r="827" spans="1:11" x14ac:dyDescent="0.25">
      <c r="A827" s="6">
        <v>1826</v>
      </c>
      <c r="B827" s="5">
        <v>45776</v>
      </c>
      <c r="C827" s="4" t="s">
        <v>15</v>
      </c>
      <c r="D827" s="4" t="s">
        <v>12</v>
      </c>
      <c r="E827" s="4" t="s">
        <v>31</v>
      </c>
      <c r="F827" s="4">
        <v>10</v>
      </c>
      <c r="G827" s="4">
        <v>250</v>
      </c>
      <c r="H827" s="4">
        <v>2500</v>
      </c>
      <c r="I827" s="4">
        <v>1896.82</v>
      </c>
      <c r="J827" s="4">
        <v>603.17999999999995</v>
      </c>
      <c r="K827" s="7" t="s">
        <v>27</v>
      </c>
    </row>
    <row r="828" spans="1:11" x14ac:dyDescent="0.25">
      <c r="A828" s="6">
        <v>1827</v>
      </c>
      <c r="B828" s="5">
        <v>45967</v>
      </c>
      <c r="C828" s="4" t="s">
        <v>30</v>
      </c>
      <c r="D828" s="4" t="s">
        <v>16</v>
      </c>
      <c r="E828" s="4" t="s">
        <v>17</v>
      </c>
      <c r="F828" s="4">
        <v>8</v>
      </c>
      <c r="G828" s="4">
        <v>250</v>
      </c>
      <c r="H828" s="4">
        <v>2000</v>
      </c>
      <c r="I828" s="4">
        <v>1451.63</v>
      </c>
      <c r="J828" s="4">
        <v>548.37</v>
      </c>
      <c r="K828" s="7" t="s">
        <v>14</v>
      </c>
    </row>
    <row r="829" spans="1:11" x14ac:dyDescent="0.25">
      <c r="A829" s="6">
        <v>1828</v>
      </c>
      <c r="B829" s="5">
        <v>45900</v>
      </c>
      <c r="C829" s="4" t="s">
        <v>11</v>
      </c>
      <c r="D829" s="4" t="s">
        <v>12</v>
      </c>
      <c r="E829" s="4" t="s">
        <v>33</v>
      </c>
      <c r="F829" s="4">
        <v>3</v>
      </c>
      <c r="G829" s="4">
        <v>12000</v>
      </c>
      <c r="H829" s="4">
        <v>36000</v>
      </c>
      <c r="I829" s="4">
        <v>24682</v>
      </c>
      <c r="J829" s="4">
        <v>11318</v>
      </c>
      <c r="K829" s="7" t="s">
        <v>28</v>
      </c>
    </row>
    <row r="830" spans="1:11" x14ac:dyDescent="0.25">
      <c r="A830" s="6">
        <v>1829</v>
      </c>
      <c r="B830" s="5">
        <v>45665</v>
      </c>
      <c r="C830" s="4" t="s">
        <v>32</v>
      </c>
      <c r="D830" s="4" t="s">
        <v>16</v>
      </c>
      <c r="E830" s="4" t="s">
        <v>20</v>
      </c>
      <c r="F830" s="4">
        <v>1</v>
      </c>
      <c r="G830" s="4">
        <v>1200</v>
      </c>
      <c r="H830" s="4">
        <v>1200</v>
      </c>
      <c r="I830" s="4">
        <v>981.11</v>
      </c>
      <c r="J830" s="4">
        <v>218.89</v>
      </c>
      <c r="K830" s="7" t="s">
        <v>21</v>
      </c>
    </row>
    <row r="831" spans="1:11" x14ac:dyDescent="0.25">
      <c r="A831" s="6">
        <v>1830</v>
      </c>
      <c r="B831" s="5">
        <v>45748</v>
      </c>
      <c r="C831" s="4" t="s">
        <v>30</v>
      </c>
      <c r="D831" s="4" t="s">
        <v>16</v>
      </c>
      <c r="E831" s="4" t="s">
        <v>17</v>
      </c>
      <c r="F831" s="4">
        <v>4</v>
      </c>
      <c r="G831" s="4">
        <v>12000</v>
      </c>
      <c r="H831" s="4">
        <v>48000</v>
      </c>
      <c r="I831" s="4">
        <v>29836.639999999999</v>
      </c>
      <c r="J831" s="4">
        <v>18163.36</v>
      </c>
      <c r="K831" s="7" t="s">
        <v>29</v>
      </c>
    </row>
    <row r="832" spans="1:11" x14ac:dyDescent="0.25">
      <c r="A832" s="6">
        <v>1831</v>
      </c>
      <c r="B832" s="5">
        <v>45784</v>
      </c>
      <c r="C832" s="4" t="s">
        <v>30</v>
      </c>
      <c r="D832" s="4" t="s">
        <v>23</v>
      </c>
      <c r="E832" s="4" t="s">
        <v>26</v>
      </c>
      <c r="F832" s="4">
        <v>6</v>
      </c>
      <c r="G832" s="4">
        <v>12000</v>
      </c>
      <c r="H832" s="4">
        <v>72000</v>
      </c>
      <c r="I832" s="4">
        <v>51130.13</v>
      </c>
      <c r="J832" s="4">
        <v>20869.87</v>
      </c>
      <c r="K832" s="7" t="s">
        <v>21</v>
      </c>
    </row>
    <row r="833" spans="1:11" x14ac:dyDescent="0.25">
      <c r="A833" s="6">
        <v>1832</v>
      </c>
      <c r="B833" s="5">
        <v>45971</v>
      </c>
      <c r="C833" s="4" t="s">
        <v>19</v>
      </c>
      <c r="D833" s="4" t="s">
        <v>16</v>
      </c>
      <c r="E833" s="4" t="s">
        <v>17</v>
      </c>
      <c r="F833" s="4">
        <v>7</v>
      </c>
      <c r="G833" s="4">
        <v>5000</v>
      </c>
      <c r="H833" s="4">
        <v>35000</v>
      </c>
      <c r="I833" s="4">
        <v>23082.99</v>
      </c>
      <c r="J833" s="4">
        <v>11917.01</v>
      </c>
      <c r="K833" s="7" t="s">
        <v>29</v>
      </c>
    </row>
    <row r="834" spans="1:11" x14ac:dyDescent="0.25">
      <c r="A834" s="6">
        <v>1833</v>
      </c>
      <c r="B834" s="5">
        <v>45891</v>
      </c>
      <c r="C834" s="4" t="s">
        <v>15</v>
      </c>
      <c r="D834" s="4" t="s">
        <v>12</v>
      </c>
      <c r="E834" s="4" t="s">
        <v>31</v>
      </c>
      <c r="F834" s="4">
        <v>1</v>
      </c>
      <c r="G834" s="4">
        <v>2500</v>
      </c>
      <c r="H834" s="4">
        <v>2500</v>
      </c>
      <c r="I834" s="4">
        <v>1470.65</v>
      </c>
      <c r="J834" s="4">
        <v>1029.3499999999999</v>
      </c>
      <c r="K834" s="7" t="s">
        <v>28</v>
      </c>
    </row>
    <row r="835" spans="1:11" x14ac:dyDescent="0.25">
      <c r="A835" s="6">
        <v>1834</v>
      </c>
      <c r="B835" s="5">
        <v>45856</v>
      </c>
      <c r="C835" s="4" t="s">
        <v>19</v>
      </c>
      <c r="D835" s="4" t="s">
        <v>12</v>
      </c>
      <c r="E835" s="4" t="s">
        <v>31</v>
      </c>
      <c r="F835" s="4">
        <v>7</v>
      </c>
      <c r="G835" s="4">
        <v>5000</v>
      </c>
      <c r="H835" s="4">
        <v>35000</v>
      </c>
      <c r="I835" s="4">
        <v>19730.830000000002</v>
      </c>
      <c r="J835" s="4">
        <v>15269.17</v>
      </c>
      <c r="K835" s="7" t="s">
        <v>14</v>
      </c>
    </row>
    <row r="836" spans="1:11" x14ac:dyDescent="0.25">
      <c r="A836" s="6">
        <v>1835</v>
      </c>
      <c r="B836" s="5">
        <v>45813</v>
      </c>
      <c r="C836" s="4" t="s">
        <v>32</v>
      </c>
      <c r="D836" s="4" t="s">
        <v>16</v>
      </c>
      <c r="E836" s="4" t="s">
        <v>20</v>
      </c>
      <c r="F836" s="4">
        <v>5</v>
      </c>
      <c r="G836" s="4">
        <v>1200</v>
      </c>
      <c r="H836" s="4">
        <v>6000</v>
      </c>
      <c r="I836" s="4">
        <v>4135.88</v>
      </c>
      <c r="J836" s="4">
        <v>1864.12</v>
      </c>
      <c r="K836" s="7" t="s">
        <v>21</v>
      </c>
    </row>
    <row r="837" spans="1:11" x14ac:dyDescent="0.25">
      <c r="A837" s="6">
        <v>1836</v>
      </c>
      <c r="B837" s="5">
        <v>46011</v>
      </c>
      <c r="C837" s="4" t="s">
        <v>19</v>
      </c>
      <c r="D837" s="4" t="s">
        <v>16</v>
      </c>
      <c r="E837" s="4" t="s">
        <v>22</v>
      </c>
      <c r="F837" s="4">
        <v>5</v>
      </c>
      <c r="G837" s="4">
        <v>2500</v>
      </c>
      <c r="H837" s="4">
        <v>12500</v>
      </c>
      <c r="I837" s="4">
        <v>10895.77</v>
      </c>
      <c r="J837" s="4">
        <v>1604.23</v>
      </c>
      <c r="K837" s="7" t="s">
        <v>28</v>
      </c>
    </row>
    <row r="838" spans="1:11" x14ac:dyDescent="0.25">
      <c r="A838" s="6">
        <v>1837</v>
      </c>
      <c r="B838" s="5">
        <v>45715</v>
      </c>
      <c r="C838" s="4" t="s">
        <v>11</v>
      </c>
      <c r="D838" s="4" t="s">
        <v>23</v>
      </c>
      <c r="E838" s="4" t="s">
        <v>26</v>
      </c>
      <c r="F838" s="4">
        <v>8</v>
      </c>
      <c r="G838" s="4">
        <v>150</v>
      </c>
      <c r="H838" s="4">
        <v>1200</v>
      </c>
      <c r="I838" s="4">
        <v>963.51</v>
      </c>
      <c r="J838" s="4">
        <v>236.49</v>
      </c>
      <c r="K838" s="7" t="s">
        <v>29</v>
      </c>
    </row>
    <row r="839" spans="1:11" x14ac:dyDescent="0.25">
      <c r="A839" s="6">
        <v>1838</v>
      </c>
      <c r="B839" s="5">
        <v>45888</v>
      </c>
      <c r="C839" s="4" t="s">
        <v>15</v>
      </c>
      <c r="D839" s="4" t="s">
        <v>12</v>
      </c>
      <c r="E839" s="4" t="s">
        <v>31</v>
      </c>
      <c r="F839" s="4">
        <v>3</v>
      </c>
      <c r="G839" s="4">
        <v>1200</v>
      </c>
      <c r="H839" s="4">
        <v>3600</v>
      </c>
      <c r="I839" s="4">
        <v>2501.08</v>
      </c>
      <c r="J839" s="4">
        <v>1098.92</v>
      </c>
      <c r="K839" s="7" t="s">
        <v>28</v>
      </c>
    </row>
    <row r="840" spans="1:11" x14ac:dyDescent="0.25">
      <c r="A840" s="6">
        <v>1839</v>
      </c>
      <c r="B840" s="5">
        <v>45823</v>
      </c>
      <c r="C840" s="4" t="s">
        <v>11</v>
      </c>
      <c r="D840" s="4" t="s">
        <v>23</v>
      </c>
      <c r="E840" s="4" t="s">
        <v>26</v>
      </c>
      <c r="F840" s="4">
        <v>4</v>
      </c>
      <c r="G840" s="4">
        <v>1200</v>
      </c>
      <c r="H840" s="4">
        <v>4800</v>
      </c>
      <c r="I840" s="4">
        <v>2791.5</v>
      </c>
      <c r="J840" s="4">
        <v>2008.5</v>
      </c>
      <c r="K840" s="7" t="s">
        <v>14</v>
      </c>
    </row>
    <row r="841" spans="1:11" x14ac:dyDescent="0.25">
      <c r="A841" s="6">
        <v>1840</v>
      </c>
      <c r="B841" s="5">
        <v>45982</v>
      </c>
      <c r="C841" s="4" t="s">
        <v>32</v>
      </c>
      <c r="D841" s="4" t="s">
        <v>12</v>
      </c>
      <c r="E841" s="4" t="s">
        <v>13</v>
      </c>
      <c r="F841" s="4">
        <v>2</v>
      </c>
      <c r="G841" s="4">
        <v>150</v>
      </c>
      <c r="H841" s="4">
        <v>300</v>
      </c>
      <c r="I841" s="4">
        <v>239.15</v>
      </c>
      <c r="J841" s="4">
        <v>60.85</v>
      </c>
      <c r="K841" s="7" t="s">
        <v>18</v>
      </c>
    </row>
    <row r="842" spans="1:11" x14ac:dyDescent="0.25">
      <c r="A842" s="6">
        <v>1841</v>
      </c>
      <c r="B842" s="5">
        <v>45919</v>
      </c>
      <c r="C842" s="4" t="s">
        <v>19</v>
      </c>
      <c r="D842" s="4" t="s">
        <v>12</v>
      </c>
      <c r="E842" s="4" t="s">
        <v>31</v>
      </c>
      <c r="F842" s="4">
        <v>7</v>
      </c>
      <c r="G842" s="4">
        <v>5000</v>
      </c>
      <c r="H842" s="4">
        <v>35000</v>
      </c>
      <c r="I842" s="4">
        <v>28940.57</v>
      </c>
      <c r="J842" s="4">
        <v>6059.43</v>
      </c>
      <c r="K842" s="7" t="s">
        <v>28</v>
      </c>
    </row>
    <row r="843" spans="1:11" x14ac:dyDescent="0.25">
      <c r="A843" s="6">
        <v>1842</v>
      </c>
      <c r="B843" s="5">
        <v>45829</v>
      </c>
      <c r="C843" s="4" t="s">
        <v>19</v>
      </c>
      <c r="D843" s="4" t="s">
        <v>23</v>
      </c>
      <c r="E843" s="4" t="s">
        <v>26</v>
      </c>
      <c r="F843" s="4">
        <v>7</v>
      </c>
      <c r="G843" s="4">
        <v>150</v>
      </c>
      <c r="H843" s="4">
        <v>1050</v>
      </c>
      <c r="I843" s="4">
        <v>859.84</v>
      </c>
      <c r="J843" s="4">
        <v>190.16</v>
      </c>
      <c r="K843" s="7" t="s">
        <v>14</v>
      </c>
    </row>
    <row r="844" spans="1:11" x14ac:dyDescent="0.25">
      <c r="A844" s="6">
        <v>1843</v>
      </c>
      <c r="B844" s="5">
        <v>45684</v>
      </c>
      <c r="C844" s="4" t="s">
        <v>30</v>
      </c>
      <c r="D844" s="4" t="s">
        <v>16</v>
      </c>
      <c r="E844" s="4" t="s">
        <v>20</v>
      </c>
      <c r="F844" s="4">
        <v>3</v>
      </c>
      <c r="G844" s="4">
        <v>250</v>
      </c>
      <c r="H844" s="4">
        <v>750</v>
      </c>
      <c r="I844" s="4">
        <v>614.4</v>
      </c>
      <c r="J844" s="4">
        <v>135.6</v>
      </c>
      <c r="K844" s="7" t="s">
        <v>27</v>
      </c>
    </row>
    <row r="845" spans="1:11" x14ac:dyDescent="0.25">
      <c r="A845" s="6">
        <v>1844</v>
      </c>
      <c r="B845" s="5">
        <v>45718</v>
      </c>
      <c r="C845" s="4" t="s">
        <v>11</v>
      </c>
      <c r="D845" s="4" t="s">
        <v>23</v>
      </c>
      <c r="E845" s="4" t="s">
        <v>26</v>
      </c>
      <c r="F845" s="4">
        <v>8</v>
      </c>
      <c r="G845" s="4">
        <v>500</v>
      </c>
      <c r="H845" s="4">
        <v>4000</v>
      </c>
      <c r="I845" s="4">
        <v>3077.03</v>
      </c>
      <c r="J845" s="4">
        <v>922.97</v>
      </c>
      <c r="K845" s="7" t="s">
        <v>28</v>
      </c>
    </row>
    <row r="846" spans="1:11" x14ac:dyDescent="0.25">
      <c r="A846" s="6">
        <v>1845</v>
      </c>
      <c r="B846" s="5">
        <v>45913</v>
      </c>
      <c r="C846" s="4" t="s">
        <v>19</v>
      </c>
      <c r="D846" s="4" t="s">
        <v>16</v>
      </c>
      <c r="E846" s="4" t="s">
        <v>17</v>
      </c>
      <c r="F846" s="4">
        <v>5</v>
      </c>
      <c r="G846" s="4">
        <v>150</v>
      </c>
      <c r="H846" s="4">
        <v>750</v>
      </c>
      <c r="I846" s="4">
        <v>532.89</v>
      </c>
      <c r="J846" s="4">
        <v>217.11</v>
      </c>
      <c r="K846" s="7" t="s">
        <v>18</v>
      </c>
    </row>
    <row r="847" spans="1:11" x14ac:dyDescent="0.25">
      <c r="A847" s="6">
        <v>1846</v>
      </c>
      <c r="B847" s="5">
        <v>45901</v>
      </c>
      <c r="C847" s="4" t="s">
        <v>30</v>
      </c>
      <c r="D847" s="4" t="s">
        <v>12</v>
      </c>
      <c r="E847" s="4" t="s">
        <v>33</v>
      </c>
      <c r="F847" s="4">
        <v>4</v>
      </c>
      <c r="G847" s="4">
        <v>250</v>
      </c>
      <c r="H847" s="4">
        <v>1000</v>
      </c>
      <c r="I847" s="4">
        <v>756.1</v>
      </c>
      <c r="J847" s="4">
        <v>243.9</v>
      </c>
      <c r="K847" s="7" t="s">
        <v>21</v>
      </c>
    </row>
    <row r="848" spans="1:11" x14ac:dyDescent="0.25">
      <c r="A848" s="6">
        <v>1847</v>
      </c>
      <c r="B848" s="5">
        <v>45938</v>
      </c>
      <c r="C848" s="4" t="s">
        <v>32</v>
      </c>
      <c r="D848" s="4" t="s">
        <v>23</v>
      </c>
      <c r="E848" s="4" t="s">
        <v>25</v>
      </c>
      <c r="F848" s="4">
        <v>10</v>
      </c>
      <c r="G848" s="4">
        <v>2500</v>
      </c>
      <c r="H848" s="4">
        <v>25000</v>
      </c>
      <c r="I848" s="4">
        <v>13807.51</v>
      </c>
      <c r="J848" s="4">
        <v>11192.49</v>
      </c>
      <c r="K848" s="7" t="s">
        <v>29</v>
      </c>
    </row>
    <row r="849" spans="1:11" x14ac:dyDescent="0.25">
      <c r="A849" s="6">
        <v>1848</v>
      </c>
      <c r="B849" s="5">
        <v>45686</v>
      </c>
      <c r="C849" s="4" t="s">
        <v>32</v>
      </c>
      <c r="D849" s="4" t="s">
        <v>12</v>
      </c>
      <c r="E849" s="4" t="s">
        <v>31</v>
      </c>
      <c r="F849" s="4">
        <v>4</v>
      </c>
      <c r="G849" s="4">
        <v>150</v>
      </c>
      <c r="H849" s="4">
        <v>600</v>
      </c>
      <c r="I849" s="4">
        <v>368.82</v>
      </c>
      <c r="J849" s="4">
        <v>231.18</v>
      </c>
      <c r="K849" s="7" t="s">
        <v>18</v>
      </c>
    </row>
    <row r="850" spans="1:11" x14ac:dyDescent="0.25">
      <c r="A850" s="6">
        <v>1849</v>
      </c>
      <c r="B850" s="5">
        <v>45827</v>
      </c>
      <c r="C850" s="4" t="s">
        <v>15</v>
      </c>
      <c r="D850" s="4" t="s">
        <v>16</v>
      </c>
      <c r="E850" s="4" t="s">
        <v>20</v>
      </c>
      <c r="F850" s="4">
        <v>10</v>
      </c>
      <c r="G850" s="4">
        <v>12000</v>
      </c>
      <c r="H850" s="4">
        <v>120000</v>
      </c>
      <c r="I850" s="4">
        <v>91337.99</v>
      </c>
      <c r="J850" s="4">
        <v>28662.01</v>
      </c>
      <c r="K850" s="7" t="s">
        <v>18</v>
      </c>
    </row>
    <row r="851" spans="1:11" x14ac:dyDescent="0.25">
      <c r="A851" s="6">
        <v>1850</v>
      </c>
      <c r="B851" s="5">
        <v>45970</v>
      </c>
      <c r="C851" s="4" t="s">
        <v>19</v>
      </c>
      <c r="D851" s="4" t="s">
        <v>16</v>
      </c>
      <c r="E851" s="4" t="s">
        <v>22</v>
      </c>
      <c r="F851" s="4">
        <v>3</v>
      </c>
      <c r="G851" s="4">
        <v>250</v>
      </c>
      <c r="H851" s="4">
        <v>750</v>
      </c>
      <c r="I851" s="4">
        <v>588.91999999999996</v>
      </c>
      <c r="J851" s="4">
        <v>161.08000000000001</v>
      </c>
      <c r="K851" s="7" t="s">
        <v>29</v>
      </c>
    </row>
    <row r="852" spans="1:11" x14ac:dyDescent="0.25">
      <c r="A852" s="6">
        <v>1851</v>
      </c>
      <c r="B852" s="5">
        <v>45676</v>
      </c>
      <c r="C852" s="4" t="s">
        <v>15</v>
      </c>
      <c r="D852" s="4" t="s">
        <v>12</v>
      </c>
      <c r="E852" s="4" t="s">
        <v>13</v>
      </c>
      <c r="F852" s="4">
        <v>8</v>
      </c>
      <c r="G852" s="4">
        <v>5000</v>
      </c>
      <c r="H852" s="4">
        <v>40000</v>
      </c>
      <c r="I852" s="4">
        <v>30105.53</v>
      </c>
      <c r="J852" s="4">
        <v>9894.4699999999993</v>
      </c>
      <c r="K852" s="7" t="s">
        <v>27</v>
      </c>
    </row>
    <row r="853" spans="1:11" x14ac:dyDescent="0.25">
      <c r="A853" s="6">
        <v>1852</v>
      </c>
      <c r="B853" s="5">
        <v>45876</v>
      </c>
      <c r="C853" s="4" t="s">
        <v>19</v>
      </c>
      <c r="D853" s="4" t="s">
        <v>23</v>
      </c>
      <c r="E853" s="4" t="s">
        <v>24</v>
      </c>
      <c r="F853" s="4">
        <v>7</v>
      </c>
      <c r="G853" s="4">
        <v>12000</v>
      </c>
      <c r="H853" s="4">
        <v>84000</v>
      </c>
      <c r="I853" s="4">
        <v>48189.4</v>
      </c>
      <c r="J853" s="4">
        <v>35810.6</v>
      </c>
      <c r="K853" s="7" t="s">
        <v>18</v>
      </c>
    </row>
    <row r="854" spans="1:11" x14ac:dyDescent="0.25">
      <c r="A854" s="6">
        <v>1853</v>
      </c>
      <c r="B854" s="5">
        <v>45798</v>
      </c>
      <c r="C854" s="4" t="s">
        <v>32</v>
      </c>
      <c r="D854" s="4" t="s">
        <v>23</v>
      </c>
      <c r="E854" s="4" t="s">
        <v>24</v>
      </c>
      <c r="F854" s="4">
        <v>3</v>
      </c>
      <c r="G854" s="4">
        <v>150</v>
      </c>
      <c r="H854" s="4">
        <v>450</v>
      </c>
      <c r="I854" s="4">
        <v>356.9</v>
      </c>
      <c r="J854" s="4">
        <v>93.1</v>
      </c>
      <c r="K854" s="7" t="s">
        <v>29</v>
      </c>
    </row>
    <row r="855" spans="1:11" x14ac:dyDescent="0.25">
      <c r="A855" s="6">
        <v>1854</v>
      </c>
      <c r="B855" s="5">
        <v>45687</v>
      </c>
      <c r="C855" s="4" t="s">
        <v>15</v>
      </c>
      <c r="D855" s="4" t="s">
        <v>23</v>
      </c>
      <c r="E855" s="4" t="s">
        <v>26</v>
      </c>
      <c r="F855" s="4">
        <v>4</v>
      </c>
      <c r="G855" s="4">
        <v>5000</v>
      </c>
      <c r="H855" s="4">
        <v>20000</v>
      </c>
      <c r="I855" s="4">
        <v>12463.36</v>
      </c>
      <c r="J855" s="4">
        <v>7536.64</v>
      </c>
      <c r="K855" s="7" t="s">
        <v>29</v>
      </c>
    </row>
    <row r="856" spans="1:11" x14ac:dyDescent="0.25">
      <c r="A856" s="6">
        <v>1855</v>
      </c>
      <c r="B856" s="5">
        <v>46010</v>
      </c>
      <c r="C856" s="4" t="s">
        <v>19</v>
      </c>
      <c r="D856" s="4" t="s">
        <v>12</v>
      </c>
      <c r="E856" s="4" t="s">
        <v>31</v>
      </c>
      <c r="F856" s="4">
        <v>9</v>
      </c>
      <c r="G856" s="4">
        <v>150</v>
      </c>
      <c r="H856" s="4">
        <v>1350</v>
      </c>
      <c r="I856" s="4">
        <v>971.03</v>
      </c>
      <c r="J856" s="4">
        <v>378.97</v>
      </c>
      <c r="K856" s="7" t="s">
        <v>14</v>
      </c>
    </row>
    <row r="857" spans="1:11" x14ac:dyDescent="0.25">
      <c r="A857" s="6">
        <v>1856</v>
      </c>
      <c r="B857" s="5">
        <v>45927</v>
      </c>
      <c r="C857" s="4" t="s">
        <v>19</v>
      </c>
      <c r="D857" s="4" t="s">
        <v>23</v>
      </c>
      <c r="E857" s="4" t="s">
        <v>24</v>
      </c>
      <c r="F857" s="4">
        <v>10</v>
      </c>
      <c r="G857" s="4">
        <v>12000</v>
      </c>
      <c r="H857" s="4">
        <v>120000</v>
      </c>
      <c r="I857" s="4">
        <v>79292.52</v>
      </c>
      <c r="J857" s="4">
        <v>40707.480000000003</v>
      </c>
      <c r="K857" s="7" t="s">
        <v>29</v>
      </c>
    </row>
    <row r="858" spans="1:11" x14ac:dyDescent="0.25">
      <c r="A858" s="6">
        <v>1857</v>
      </c>
      <c r="B858" s="5">
        <v>45981</v>
      </c>
      <c r="C858" s="4" t="s">
        <v>30</v>
      </c>
      <c r="D858" s="4" t="s">
        <v>23</v>
      </c>
      <c r="E858" s="4" t="s">
        <v>25</v>
      </c>
      <c r="F858" s="4">
        <v>10</v>
      </c>
      <c r="G858" s="4">
        <v>2500</v>
      </c>
      <c r="H858" s="4">
        <v>25000</v>
      </c>
      <c r="I858" s="4">
        <v>18093.47</v>
      </c>
      <c r="J858" s="4">
        <v>6906.53</v>
      </c>
      <c r="K858" s="7" t="s">
        <v>21</v>
      </c>
    </row>
    <row r="859" spans="1:11" x14ac:dyDescent="0.25">
      <c r="A859" s="6">
        <v>1858</v>
      </c>
      <c r="B859" s="5">
        <v>45757</v>
      </c>
      <c r="C859" s="4" t="s">
        <v>15</v>
      </c>
      <c r="D859" s="4" t="s">
        <v>16</v>
      </c>
      <c r="E859" s="4" t="s">
        <v>17</v>
      </c>
      <c r="F859" s="4">
        <v>4</v>
      </c>
      <c r="G859" s="4">
        <v>5000</v>
      </c>
      <c r="H859" s="4">
        <v>20000</v>
      </c>
      <c r="I859" s="4">
        <v>13033.42</v>
      </c>
      <c r="J859" s="4">
        <v>6966.58</v>
      </c>
      <c r="K859" s="7" t="s">
        <v>18</v>
      </c>
    </row>
    <row r="860" spans="1:11" x14ac:dyDescent="0.25">
      <c r="A860" s="6">
        <v>1859</v>
      </c>
      <c r="B860" s="5">
        <v>45973</v>
      </c>
      <c r="C860" s="4" t="s">
        <v>30</v>
      </c>
      <c r="D860" s="4" t="s">
        <v>16</v>
      </c>
      <c r="E860" s="4" t="s">
        <v>22</v>
      </c>
      <c r="F860" s="4">
        <v>2</v>
      </c>
      <c r="G860" s="4">
        <v>5000</v>
      </c>
      <c r="H860" s="4">
        <v>10000</v>
      </c>
      <c r="I860" s="4">
        <v>8468.24</v>
      </c>
      <c r="J860" s="4">
        <v>1531.76</v>
      </c>
      <c r="K860" s="7" t="s">
        <v>21</v>
      </c>
    </row>
    <row r="861" spans="1:11" x14ac:dyDescent="0.25">
      <c r="A861" s="6">
        <v>1860</v>
      </c>
      <c r="B861" s="5">
        <v>45766</v>
      </c>
      <c r="C861" s="4" t="s">
        <v>15</v>
      </c>
      <c r="D861" s="4" t="s">
        <v>16</v>
      </c>
      <c r="E861" s="4" t="s">
        <v>22</v>
      </c>
      <c r="F861" s="4">
        <v>6</v>
      </c>
      <c r="G861" s="4">
        <v>2500</v>
      </c>
      <c r="H861" s="4">
        <v>15000</v>
      </c>
      <c r="I861" s="4">
        <v>12481.73</v>
      </c>
      <c r="J861" s="4">
        <v>2518.27</v>
      </c>
      <c r="K861" s="7" t="s">
        <v>14</v>
      </c>
    </row>
    <row r="862" spans="1:11" x14ac:dyDescent="0.25">
      <c r="A862" s="6">
        <v>1861</v>
      </c>
      <c r="B862" s="5">
        <v>45815</v>
      </c>
      <c r="C862" s="4" t="s">
        <v>32</v>
      </c>
      <c r="D862" s="4" t="s">
        <v>16</v>
      </c>
      <c r="E862" s="4" t="s">
        <v>17</v>
      </c>
      <c r="F862" s="4">
        <v>5</v>
      </c>
      <c r="G862" s="4">
        <v>500</v>
      </c>
      <c r="H862" s="4">
        <v>2500</v>
      </c>
      <c r="I862" s="4">
        <v>2066.42</v>
      </c>
      <c r="J862" s="4">
        <v>433.58</v>
      </c>
      <c r="K862" s="7" t="s">
        <v>29</v>
      </c>
    </row>
    <row r="863" spans="1:11" x14ac:dyDescent="0.25">
      <c r="A863" s="6">
        <v>1862</v>
      </c>
      <c r="B863" s="5">
        <v>45832</v>
      </c>
      <c r="C863" s="4" t="s">
        <v>30</v>
      </c>
      <c r="D863" s="4" t="s">
        <v>12</v>
      </c>
      <c r="E863" s="4" t="s">
        <v>33</v>
      </c>
      <c r="F863" s="4">
        <v>1</v>
      </c>
      <c r="G863" s="4">
        <v>150</v>
      </c>
      <c r="H863" s="4">
        <v>150</v>
      </c>
      <c r="I863" s="4">
        <v>118.51</v>
      </c>
      <c r="J863" s="4">
        <v>31.49</v>
      </c>
      <c r="K863" s="7" t="s">
        <v>14</v>
      </c>
    </row>
    <row r="864" spans="1:11" x14ac:dyDescent="0.25">
      <c r="A864" s="6">
        <v>1863</v>
      </c>
      <c r="B864" s="5">
        <v>45827</v>
      </c>
      <c r="C864" s="4" t="s">
        <v>32</v>
      </c>
      <c r="D864" s="4" t="s">
        <v>12</v>
      </c>
      <c r="E864" s="4" t="s">
        <v>31</v>
      </c>
      <c r="F864" s="4">
        <v>1</v>
      </c>
      <c r="G864" s="4">
        <v>12000</v>
      </c>
      <c r="H864" s="4">
        <v>12000</v>
      </c>
      <c r="I864" s="4">
        <v>7337.64</v>
      </c>
      <c r="J864" s="4">
        <v>4662.3599999999997</v>
      </c>
      <c r="K864" s="7" t="s">
        <v>14</v>
      </c>
    </row>
    <row r="865" spans="1:11" x14ac:dyDescent="0.25">
      <c r="A865" s="6">
        <v>1864</v>
      </c>
      <c r="B865" s="5">
        <v>45737</v>
      </c>
      <c r="C865" s="4" t="s">
        <v>30</v>
      </c>
      <c r="D865" s="4" t="s">
        <v>23</v>
      </c>
      <c r="E865" s="4" t="s">
        <v>24</v>
      </c>
      <c r="F865" s="4">
        <v>1</v>
      </c>
      <c r="G865" s="4">
        <v>5000</v>
      </c>
      <c r="H865" s="4">
        <v>5000</v>
      </c>
      <c r="I865" s="4">
        <v>2987.57</v>
      </c>
      <c r="J865" s="4">
        <v>2012.43</v>
      </c>
      <c r="K865" s="7" t="s">
        <v>29</v>
      </c>
    </row>
    <row r="866" spans="1:11" x14ac:dyDescent="0.25">
      <c r="A866" s="6">
        <v>1865</v>
      </c>
      <c r="B866" s="5">
        <v>45924</v>
      </c>
      <c r="C866" s="4" t="s">
        <v>32</v>
      </c>
      <c r="D866" s="4" t="s">
        <v>23</v>
      </c>
      <c r="E866" s="4" t="s">
        <v>24</v>
      </c>
      <c r="F866" s="4">
        <v>7</v>
      </c>
      <c r="G866" s="4">
        <v>5000</v>
      </c>
      <c r="H866" s="4">
        <v>35000</v>
      </c>
      <c r="I866" s="4">
        <v>19936.27</v>
      </c>
      <c r="J866" s="4">
        <v>15063.73</v>
      </c>
      <c r="K866" s="7" t="s">
        <v>29</v>
      </c>
    </row>
    <row r="867" spans="1:11" x14ac:dyDescent="0.25">
      <c r="A867" s="6">
        <v>1866</v>
      </c>
      <c r="B867" s="5">
        <v>45764</v>
      </c>
      <c r="C867" s="4" t="s">
        <v>19</v>
      </c>
      <c r="D867" s="4" t="s">
        <v>12</v>
      </c>
      <c r="E867" s="4" t="s">
        <v>31</v>
      </c>
      <c r="F867" s="4">
        <v>6</v>
      </c>
      <c r="G867" s="4">
        <v>2500</v>
      </c>
      <c r="H867" s="4">
        <v>15000</v>
      </c>
      <c r="I867" s="4">
        <v>11063.4</v>
      </c>
      <c r="J867" s="4">
        <v>3936.6</v>
      </c>
      <c r="K867" s="7" t="s">
        <v>14</v>
      </c>
    </row>
    <row r="868" spans="1:11" x14ac:dyDescent="0.25">
      <c r="A868" s="6">
        <v>1867</v>
      </c>
      <c r="B868" s="5">
        <v>45673</v>
      </c>
      <c r="C868" s="4" t="s">
        <v>32</v>
      </c>
      <c r="D868" s="4" t="s">
        <v>23</v>
      </c>
      <c r="E868" s="4" t="s">
        <v>24</v>
      </c>
      <c r="F868" s="4">
        <v>2</v>
      </c>
      <c r="G868" s="4">
        <v>250</v>
      </c>
      <c r="H868" s="4">
        <v>500</v>
      </c>
      <c r="I868" s="4">
        <v>324.08</v>
      </c>
      <c r="J868" s="4">
        <v>175.92</v>
      </c>
      <c r="K868" s="7" t="s">
        <v>21</v>
      </c>
    </row>
    <row r="869" spans="1:11" x14ac:dyDescent="0.25">
      <c r="A869" s="6">
        <v>1868</v>
      </c>
      <c r="B869" s="5">
        <v>45753</v>
      </c>
      <c r="C869" s="4" t="s">
        <v>19</v>
      </c>
      <c r="D869" s="4" t="s">
        <v>12</v>
      </c>
      <c r="E869" s="4" t="s">
        <v>31</v>
      </c>
      <c r="F869" s="4">
        <v>3</v>
      </c>
      <c r="G869" s="4">
        <v>2500</v>
      </c>
      <c r="H869" s="4">
        <v>7500</v>
      </c>
      <c r="I869" s="4">
        <v>5714.93</v>
      </c>
      <c r="J869" s="4">
        <v>1785.07</v>
      </c>
      <c r="K869" s="7" t="s">
        <v>18</v>
      </c>
    </row>
    <row r="870" spans="1:11" x14ac:dyDescent="0.25">
      <c r="A870" s="6">
        <v>1869</v>
      </c>
      <c r="B870" s="5">
        <v>45869</v>
      </c>
      <c r="C870" s="4" t="s">
        <v>15</v>
      </c>
      <c r="D870" s="4" t="s">
        <v>23</v>
      </c>
      <c r="E870" s="4" t="s">
        <v>26</v>
      </c>
      <c r="F870" s="4">
        <v>6</v>
      </c>
      <c r="G870" s="4">
        <v>5000</v>
      </c>
      <c r="H870" s="4">
        <v>30000</v>
      </c>
      <c r="I870" s="4">
        <v>16832.099999999999</v>
      </c>
      <c r="J870" s="4">
        <v>13167.9</v>
      </c>
      <c r="K870" s="7" t="s">
        <v>21</v>
      </c>
    </row>
    <row r="871" spans="1:11" x14ac:dyDescent="0.25">
      <c r="A871" s="6">
        <v>1870</v>
      </c>
      <c r="B871" s="5">
        <v>45768</v>
      </c>
      <c r="C871" s="4" t="s">
        <v>19</v>
      </c>
      <c r="D871" s="4" t="s">
        <v>16</v>
      </c>
      <c r="E871" s="4" t="s">
        <v>22</v>
      </c>
      <c r="F871" s="4">
        <v>8</v>
      </c>
      <c r="G871" s="4">
        <v>12000</v>
      </c>
      <c r="H871" s="4">
        <v>96000</v>
      </c>
      <c r="I871" s="4">
        <v>84744.42</v>
      </c>
      <c r="J871" s="4">
        <v>11255.58</v>
      </c>
      <c r="K871" s="7" t="s">
        <v>27</v>
      </c>
    </row>
    <row r="872" spans="1:11" x14ac:dyDescent="0.25">
      <c r="A872" s="6">
        <v>1871</v>
      </c>
      <c r="B872" s="5">
        <v>45761</v>
      </c>
      <c r="C872" s="4" t="s">
        <v>15</v>
      </c>
      <c r="D872" s="4" t="s">
        <v>16</v>
      </c>
      <c r="E872" s="4" t="s">
        <v>20</v>
      </c>
      <c r="F872" s="4">
        <v>6</v>
      </c>
      <c r="G872" s="4">
        <v>12000</v>
      </c>
      <c r="H872" s="4">
        <v>72000</v>
      </c>
      <c r="I872" s="4">
        <v>40542.35</v>
      </c>
      <c r="J872" s="4">
        <v>31457.65</v>
      </c>
      <c r="K872" s="7" t="s">
        <v>21</v>
      </c>
    </row>
    <row r="873" spans="1:11" x14ac:dyDescent="0.25">
      <c r="A873" s="6">
        <v>1872</v>
      </c>
      <c r="B873" s="5">
        <v>45832</v>
      </c>
      <c r="C873" s="4" t="s">
        <v>30</v>
      </c>
      <c r="D873" s="4" t="s">
        <v>12</v>
      </c>
      <c r="E873" s="4" t="s">
        <v>13</v>
      </c>
      <c r="F873" s="4">
        <v>8</v>
      </c>
      <c r="G873" s="4">
        <v>2500</v>
      </c>
      <c r="H873" s="4">
        <v>20000</v>
      </c>
      <c r="I873" s="4">
        <v>12078.54</v>
      </c>
      <c r="J873" s="4">
        <v>7921.46</v>
      </c>
      <c r="K873" s="7" t="s">
        <v>14</v>
      </c>
    </row>
    <row r="874" spans="1:11" x14ac:dyDescent="0.25">
      <c r="A874" s="6">
        <v>1873</v>
      </c>
      <c r="B874" s="5">
        <v>45708</v>
      </c>
      <c r="C874" s="4" t="s">
        <v>19</v>
      </c>
      <c r="D874" s="4" t="s">
        <v>12</v>
      </c>
      <c r="E874" s="4" t="s">
        <v>33</v>
      </c>
      <c r="F874" s="4">
        <v>6</v>
      </c>
      <c r="G874" s="4">
        <v>250</v>
      </c>
      <c r="H874" s="4">
        <v>1500</v>
      </c>
      <c r="I874" s="4">
        <v>1228.98</v>
      </c>
      <c r="J874" s="4">
        <v>271.02</v>
      </c>
      <c r="K874" s="7" t="s">
        <v>14</v>
      </c>
    </row>
    <row r="875" spans="1:11" x14ac:dyDescent="0.25">
      <c r="A875" s="6">
        <v>1874</v>
      </c>
      <c r="B875" s="5">
        <v>45925</v>
      </c>
      <c r="C875" s="4" t="s">
        <v>15</v>
      </c>
      <c r="D875" s="4" t="s">
        <v>16</v>
      </c>
      <c r="E875" s="4" t="s">
        <v>20</v>
      </c>
      <c r="F875" s="4">
        <v>1</v>
      </c>
      <c r="G875" s="4">
        <v>1200</v>
      </c>
      <c r="H875" s="4">
        <v>1200</v>
      </c>
      <c r="I875" s="4">
        <v>822.79</v>
      </c>
      <c r="J875" s="4">
        <v>377.21</v>
      </c>
      <c r="K875" s="7" t="s">
        <v>18</v>
      </c>
    </row>
    <row r="876" spans="1:11" x14ac:dyDescent="0.25">
      <c r="A876" s="6">
        <v>1875</v>
      </c>
      <c r="B876" s="5">
        <v>45897</v>
      </c>
      <c r="C876" s="4" t="s">
        <v>15</v>
      </c>
      <c r="D876" s="4" t="s">
        <v>23</v>
      </c>
      <c r="E876" s="4" t="s">
        <v>25</v>
      </c>
      <c r="F876" s="4">
        <v>10</v>
      </c>
      <c r="G876" s="4">
        <v>12000</v>
      </c>
      <c r="H876" s="4">
        <v>120000</v>
      </c>
      <c r="I876" s="4">
        <v>69657.19</v>
      </c>
      <c r="J876" s="4">
        <v>50342.81</v>
      </c>
      <c r="K876" s="7" t="s">
        <v>18</v>
      </c>
    </row>
    <row r="877" spans="1:11" x14ac:dyDescent="0.25">
      <c r="A877" s="6">
        <v>1876</v>
      </c>
      <c r="B877" s="5">
        <v>45817</v>
      </c>
      <c r="C877" s="4" t="s">
        <v>11</v>
      </c>
      <c r="D877" s="4" t="s">
        <v>12</v>
      </c>
      <c r="E877" s="4" t="s">
        <v>31</v>
      </c>
      <c r="F877" s="4">
        <v>5</v>
      </c>
      <c r="G877" s="4">
        <v>150</v>
      </c>
      <c r="H877" s="4">
        <v>750</v>
      </c>
      <c r="I877" s="4">
        <v>564.11</v>
      </c>
      <c r="J877" s="4">
        <v>185.89</v>
      </c>
      <c r="K877" s="7" t="s">
        <v>27</v>
      </c>
    </row>
    <row r="878" spans="1:11" x14ac:dyDescent="0.25">
      <c r="A878" s="6">
        <v>1877</v>
      </c>
      <c r="B878" s="5">
        <v>45883</v>
      </c>
      <c r="C878" s="4" t="s">
        <v>15</v>
      </c>
      <c r="D878" s="4" t="s">
        <v>16</v>
      </c>
      <c r="E878" s="4" t="s">
        <v>20</v>
      </c>
      <c r="F878" s="4">
        <v>5</v>
      </c>
      <c r="G878" s="4">
        <v>500</v>
      </c>
      <c r="H878" s="4">
        <v>2500</v>
      </c>
      <c r="I878" s="4">
        <v>1840.74</v>
      </c>
      <c r="J878" s="4">
        <v>659.26</v>
      </c>
      <c r="K878" s="7" t="s">
        <v>27</v>
      </c>
    </row>
    <row r="879" spans="1:11" x14ac:dyDescent="0.25">
      <c r="A879" s="6">
        <v>1878</v>
      </c>
      <c r="B879" s="5">
        <v>45976</v>
      </c>
      <c r="C879" s="4" t="s">
        <v>19</v>
      </c>
      <c r="D879" s="4" t="s">
        <v>16</v>
      </c>
      <c r="E879" s="4" t="s">
        <v>20</v>
      </c>
      <c r="F879" s="4">
        <v>5</v>
      </c>
      <c r="G879" s="4">
        <v>150</v>
      </c>
      <c r="H879" s="4">
        <v>750</v>
      </c>
      <c r="I879" s="4">
        <v>416.5</v>
      </c>
      <c r="J879" s="4">
        <v>333.5</v>
      </c>
      <c r="K879" s="7" t="s">
        <v>29</v>
      </c>
    </row>
    <row r="880" spans="1:11" x14ac:dyDescent="0.25">
      <c r="A880" s="6">
        <v>1879</v>
      </c>
      <c r="B880" s="5">
        <v>45796</v>
      </c>
      <c r="C880" s="4" t="s">
        <v>11</v>
      </c>
      <c r="D880" s="4" t="s">
        <v>16</v>
      </c>
      <c r="E880" s="4" t="s">
        <v>20</v>
      </c>
      <c r="F880" s="4">
        <v>9</v>
      </c>
      <c r="G880" s="4">
        <v>500</v>
      </c>
      <c r="H880" s="4">
        <v>4500</v>
      </c>
      <c r="I880" s="4">
        <v>3340.25</v>
      </c>
      <c r="J880" s="4">
        <v>1159.75</v>
      </c>
      <c r="K880" s="7" t="s">
        <v>14</v>
      </c>
    </row>
    <row r="881" spans="1:11" x14ac:dyDescent="0.25">
      <c r="A881" s="6">
        <v>1880</v>
      </c>
      <c r="B881" s="5">
        <v>45971</v>
      </c>
      <c r="C881" s="4" t="s">
        <v>32</v>
      </c>
      <c r="D881" s="4" t="s">
        <v>23</v>
      </c>
      <c r="E881" s="4" t="s">
        <v>26</v>
      </c>
      <c r="F881" s="4">
        <v>4</v>
      </c>
      <c r="G881" s="4">
        <v>250</v>
      </c>
      <c r="H881" s="4">
        <v>1000</v>
      </c>
      <c r="I881" s="4">
        <v>574.94000000000005</v>
      </c>
      <c r="J881" s="4">
        <v>425.06</v>
      </c>
      <c r="K881" s="7" t="s">
        <v>29</v>
      </c>
    </row>
    <row r="882" spans="1:11" x14ac:dyDescent="0.25">
      <c r="A882" s="6">
        <v>1881</v>
      </c>
      <c r="B882" s="5">
        <v>46003</v>
      </c>
      <c r="C882" s="4" t="s">
        <v>15</v>
      </c>
      <c r="D882" s="4" t="s">
        <v>23</v>
      </c>
      <c r="E882" s="4" t="s">
        <v>25</v>
      </c>
      <c r="F882" s="4">
        <v>3</v>
      </c>
      <c r="G882" s="4">
        <v>150</v>
      </c>
      <c r="H882" s="4">
        <v>450</v>
      </c>
      <c r="I882" s="4">
        <v>321.64</v>
      </c>
      <c r="J882" s="4">
        <v>128.36000000000001</v>
      </c>
      <c r="K882" s="7" t="s">
        <v>18</v>
      </c>
    </row>
    <row r="883" spans="1:11" x14ac:dyDescent="0.25">
      <c r="A883" s="6">
        <v>1882</v>
      </c>
      <c r="B883" s="5">
        <v>46018</v>
      </c>
      <c r="C883" s="4" t="s">
        <v>19</v>
      </c>
      <c r="D883" s="4" t="s">
        <v>23</v>
      </c>
      <c r="E883" s="4" t="s">
        <v>25</v>
      </c>
      <c r="F883" s="4">
        <v>2</v>
      </c>
      <c r="G883" s="4">
        <v>1200</v>
      </c>
      <c r="H883" s="4">
        <v>2400</v>
      </c>
      <c r="I883" s="4">
        <v>1649.21</v>
      </c>
      <c r="J883" s="4">
        <v>750.79</v>
      </c>
      <c r="K883" s="7" t="s">
        <v>29</v>
      </c>
    </row>
    <row r="884" spans="1:11" x14ac:dyDescent="0.25">
      <c r="A884" s="6">
        <v>1883</v>
      </c>
      <c r="B884" s="5">
        <v>45828</v>
      </c>
      <c r="C884" s="4" t="s">
        <v>11</v>
      </c>
      <c r="D884" s="4" t="s">
        <v>12</v>
      </c>
      <c r="E884" s="4" t="s">
        <v>31</v>
      </c>
      <c r="F884" s="4">
        <v>8</v>
      </c>
      <c r="G884" s="4">
        <v>2500</v>
      </c>
      <c r="H884" s="4">
        <v>20000</v>
      </c>
      <c r="I884" s="4">
        <v>13489.37</v>
      </c>
      <c r="J884" s="4">
        <v>6510.63</v>
      </c>
      <c r="K884" s="7" t="s">
        <v>14</v>
      </c>
    </row>
    <row r="885" spans="1:11" x14ac:dyDescent="0.25">
      <c r="A885" s="6">
        <v>1884</v>
      </c>
      <c r="B885" s="5">
        <v>45948</v>
      </c>
      <c r="C885" s="4" t="s">
        <v>11</v>
      </c>
      <c r="D885" s="4" t="s">
        <v>12</v>
      </c>
      <c r="E885" s="4" t="s">
        <v>31</v>
      </c>
      <c r="F885" s="4">
        <v>2</v>
      </c>
      <c r="G885" s="4">
        <v>12000</v>
      </c>
      <c r="H885" s="4">
        <v>24000</v>
      </c>
      <c r="I885" s="4">
        <v>19621.2</v>
      </c>
      <c r="J885" s="4">
        <v>4378.8</v>
      </c>
      <c r="K885" s="7" t="s">
        <v>18</v>
      </c>
    </row>
    <row r="886" spans="1:11" x14ac:dyDescent="0.25">
      <c r="A886" s="6">
        <v>1885</v>
      </c>
      <c r="B886" s="5">
        <v>45987</v>
      </c>
      <c r="C886" s="4" t="s">
        <v>30</v>
      </c>
      <c r="D886" s="4" t="s">
        <v>12</v>
      </c>
      <c r="E886" s="4" t="s">
        <v>33</v>
      </c>
      <c r="F886" s="4">
        <v>2</v>
      </c>
      <c r="G886" s="4">
        <v>1200</v>
      </c>
      <c r="H886" s="4">
        <v>2400</v>
      </c>
      <c r="I886" s="4">
        <v>1580.73</v>
      </c>
      <c r="J886" s="4">
        <v>819.27</v>
      </c>
      <c r="K886" s="7" t="s">
        <v>21</v>
      </c>
    </row>
    <row r="887" spans="1:11" x14ac:dyDescent="0.25">
      <c r="A887" s="6">
        <v>1886</v>
      </c>
      <c r="B887" s="5">
        <v>45790</v>
      </c>
      <c r="C887" s="4" t="s">
        <v>32</v>
      </c>
      <c r="D887" s="4" t="s">
        <v>16</v>
      </c>
      <c r="E887" s="4" t="s">
        <v>20</v>
      </c>
      <c r="F887" s="4">
        <v>3</v>
      </c>
      <c r="G887" s="4">
        <v>12000</v>
      </c>
      <c r="H887" s="4">
        <v>36000</v>
      </c>
      <c r="I887" s="4">
        <v>31085.83</v>
      </c>
      <c r="J887" s="4">
        <v>4914.17</v>
      </c>
      <c r="K887" s="7" t="s">
        <v>21</v>
      </c>
    </row>
    <row r="888" spans="1:11" x14ac:dyDescent="0.25">
      <c r="A888" s="6">
        <v>1887</v>
      </c>
      <c r="B888" s="5">
        <v>45824</v>
      </c>
      <c r="C888" s="4" t="s">
        <v>30</v>
      </c>
      <c r="D888" s="4" t="s">
        <v>16</v>
      </c>
      <c r="E888" s="4" t="s">
        <v>17</v>
      </c>
      <c r="F888" s="4">
        <v>6</v>
      </c>
      <c r="G888" s="4">
        <v>12000</v>
      </c>
      <c r="H888" s="4">
        <v>72000</v>
      </c>
      <c r="I888" s="4">
        <v>61291.95</v>
      </c>
      <c r="J888" s="4">
        <v>10708.05</v>
      </c>
      <c r="K888" s="7" t="s">
        <v>21</v>
      </c>
    </row>
    <row r="889" spans="1:11" x14ac:dyDescent="0.25">
      <c r="A889" s="6">
        <v>1888</v>
      </c>
      <c r="B889" s="5">
        <v>45894</v>
      </c>
      <c r="C889" s="4" t="s">
        <v>11</v>
      </c>
      <c r="D889" s="4" t="s">
        <v>16</v>
      </c>
      <c r="E889" s="4" t="s">
        <v>20</v>
      </c>
      <c r="F889" s="4">
        <v>8</v>
      </c>
      <c r="G889" s="4">
        <v>150</v>
      </c>
      <c r="H889" s="4">
        <v>1200</v>
      </c>
      <c r="I889" s="4">
        <v>807.61</v>
      </c>
      <c r="J889" s="4">
        <v>392.39</v>
      </c>
      <c r="K889" s="7" t="s">
        <v>27</v>
      </c>
    </row>
    <row r="890" spans="1:11" x14ac:dyDescent="0.25">
      <c r="A890" s="6">
        <v>1889</v>
      </c>
      <c r="B890" s="5">
        <v>45865</v>
      </c>
      <c r="C890" s="4" t="s">
        <v>15</v>
      </c>
      <c r="D890" s="4" t="s">
        <v>23</v>
      </c>
      <c r="E890" s="4" t="s">
        <v>26</v>
      </c>
      <c r="F890" s="4">
        <v>10</v>
      </c>
      <c r="G890" s="4">
        <v>250</v>
      </c>
      <c r="H890" s="4">
        <v>2500</v>
      </c>
      <c r="I890" s="4">
        <v>1819.46</v>
      </c>
      <c r="J890" s="4">
        <v>680.54</v>
      </c>
      <c r="K890" s="7" t="s">
        <v>27</v>
      </c>
    </row>
    <row r="891" spans="1:11" x14ac:dyDescent="0.25">
      <c r="A891" s="6">
        <v>1890</v>
      </c>
      <c r="B891" s="5">
        <v>45894</v>
      </c>
      <c r="C891" s="4" t="s">
        <v>30</v>
      </c>
      <c r="D891" s="4" t="s">
        <v>12</v>
      </c>
      <c r="E891" s="4" t="s">
        <v>31</v>
      </c>
      <c r="F891" s="4">
        <v>2</v>
      </c>
      <c r="G891" s="4">
        <v>12000</v>
      </c>
      <c r="H891" s="4">
        <v>24000</v>
      </c>
      <c r="I891" s="4">
        <v>15737.79</v>
      </c>
      <c r="J891" s="4">
        <v>8262.2099999999991</v>
      </c>
      <c r="K891" s="7" t="s">
        <v>29</v>
      </c>
    </row>
    <row r="892" spans="1:11" x14ac:dyDescent="0.25">
      <c r="A892" s="6">
        <v>1891</v>
      </c>
      <c r="B892" s="5">
        <v>45904</v>
      </c>
      <c r="C892" s="4" t="s">
        <v>30</v>
      </c>
      <c r="D892" s="4" t="s">
        <v>23</v>
      </c>
      <c r="E892" s="4" t="s">
        <v>25</v>
      </c>
      <c r="F892" s="4">
        <v>10</v>
      </c>
      <c r="G892" s="4">
        <v>250</v>
      </c>
      <c r="H892" s="4">
        <v>2500</v>
      </c>
      <c r="I892" s="4">
        <v>1854.46</v>
      </c>
      <c r="J892" s="4">
        <v>645.54</v>
      </c>
      <c r="K892" s="7" t="s">
        <v>18</v>
      </c>
    </row>
    <row r="893" spans="1:11" x14ac:dyDescent="0.25">
      <c r="A893" s="6">
        <v>1892</v>
      </c>
      <c r="B893" s="5">
        <v>45880</v>
      </c>
      <c r="C893" s="4" t="s">
        <v>19</v>
      </c>
      <c r="D893" s="4" t="s">
        <v>23</v>
      </c>
      <c r="E893" s="4" t="s">
        <v>25</v>
      </c>
      <c r="F893" s="4">
        <v>10</v>
      </c>
      <c r="G893" s="4">
        <v>1200</v>
      </c>
      <c r="H893" s="4">
        <v>12000</v>
      </c>
      <c r="I893" s="4">
        <v>9894.1200000000008</v>
      </c>
      <c r="J893" s="4">
        <v>2105.88</v>
      </c>
      <c r="K893" s="7" t="s">
        <v>27</v>
      </c>
    </row>
    <row r="894" spans="1:11" x14ac:dyDescent="0.25">
      <c r="A894" s="6">
        <v>1893</v>
      </c>
      <c r="B894" s="5">
        <v>45697</v>
      </c>
      <c r="C894" s="4" t="s">
        <v>19</v>
      </c>
      <c r="D894" s="4" t="s">
        <v>12</v>
      </c>
      <c r="E894" s="4" t="s">
        <v>31</v>
      </c>
      <c r="F894" s="4">
        <v>4</v>
      </c>
      <c r="G894" s="4">
        <v>250</v>
      </c>
      <c r="H894" s="4">
        <v>1000</v>
      </c>
      <c r="I894" s="4">
        <v>781.91</v>
      </c>
      <c r="J894" s="4">
        <v>218.09</v>
      </c>
      <c r="K894" s="7" t="s">
        <v>21</v>
      </c>
    </row>
    <row r="895" spans="1:11" x14ac:dyDescent="0.25">
      <c r="A895" s="6">
        <v>1894</v>
      </c>
      <c r="B895" s="5">
        <v>45707</v>
      </c>
      <c r="C895" s="4" t="s">
        <v>30</v>
      </c>
      <c r="D895" s="4" t="s">
        <v>16</v>
      </c>
      <c r="E895" s="4" t="s">
        <v>17</v>
      </c>
      <c r="F895" s="4">
        <v>10</v>
      </c>
      <c r="G895" s="4">
        <v>1200</v>
      </c>
      <c r="H895" s="4">
        <v>12000</v>
      </c>
      <c r="I895" s="4">
        <v>7966.59</v>
      </c>
      <c r="J895" s="4">
        <v>4033.41</v>
      </c>
      <c r="K895" s="7" t="s">
        <v>28</v>
      </c>
    </row>
    <row r="896" spans="1:11" x14ac:dyDescent="0.25">
      <c r="A896" s="6">
        <v>1895</v>
      </c>
      <c r="B896" s="5">
        <v>45963</v>
      </c>
      <c r="C896" s="4" t="s">
        <v>30</v>
      </c>
      <c r="D896" s="4" t="s">
        <v>23</v>
      </c>
      <c r="E896" s="4" t="s">
        <v>24</v>
      </c>
      <c r="F896" s="4">
        <v>2</v>
      </c>
      <c r="G896" s="4">
        <v>2500</v>
      </c>
      <c r="H896" s="4">
        <v>5000</v>
      </c>
      <c r="I896" s="4">
        <v>2940.3</v>
      </c>
      <c r="J896" s="4">
        <v>2059.6999999999998</v>
      </c>
      <c r="K896" s="7" t="s">
        <v>27</v>
      </c>
    </row>
    <row r="897" spans="1:11" x14ac:dyDescent="0.25">
      <c r="A897" s="6">
        <v>1896</v>
      </c>
      <c r="B897" s="5">
        <v>45729</v>
      </c>
      <c r="C897" s="4" t="s">
        <v>19</v>
      </c>
      <c r="D897" s="4" t="s">
        <v>23</v>
      </c>
      <c r="E897" s="4" t="s">
        <v>26</v>
      </c>
      <c r="F897" s="4">
        <v>1</v>
      </c>
      <c r="G897" s="4">
        <v>150</v>
      </c>
      <c r="H897" s="4">
        <v>150</v>
      </c>
      <c r="I897" s="4">
        <v>93.92</v>
      </c>
      <c r="J897" s="4">
        <v>56.08</v>
      </c>
      <c r="K897" s="7" t="s">
        <v>14</v>
      </c>
    </row>
    <row r="898" spans="1:11" x14ac:dyDescent="0.25">
      <c r="A898" s="6">
        <v>1897</v>
      </c>
      <c r="B898" s="5">
        <v>45857</v>
      </c>
      <c r="C898" s="4" t="s">
        <v>19</v>
      </c>
      <c r="D898" s="4" t="s">
        <v>16</v>
      </c>
      <c r="E898" s="4" t="s">
        <v>20</v>
      </c>
      <c r="F898" s="4">
        <v>3</v>
      </c>
      <c r="G898" s="4">
        <v>1200</v>
      </c>
      <c r="H898" s="4">
        <v>3600</v>
      </c>
      <c r="I898" s="4">
        <v>2649.38</v>
      </c>
      <c r="J898" s="4">
        <v>950.62</v>
      </c>
      <c r="K898" s="7" t="s">
        <v>29</v>
      </c>
    </row>
    <row r="899" spans="1:11" x14ac:dyDescent="0.25">
      <c r="A899" s="6">
        <v>1898</v>
      </c>
      <c r="B899" s="5">
        <v>45811</v>
      </c>
      <c r="C899" s="4" t="s">
        <v>19</v>
      </c>
      <c r="D899" s="4" t="s">
        <v>23</v>
      </c>
      <c r="E899" s="4" t="s">
        <v>25</v>
      </c>
      <c r="F899" s="4">
        <v>4</v>
      </c>
      <c r="G899" s="4">
        <v>5000</v>
      </c>
      <c r="H899" s="4">
        <v>20000</v>
      </c>
      <c r="I899" s="4">
        <v>17141.98</v>
      </c>
      <c r="J899" s="4">
        <v>2858.02</v>
      </c>
      <c r="K899" s="7" t="s">
        <v>14</v>
      </c>
    </row>
    <row r="900" spans="1:11" x14ac:dyDescent="0.25">
      <c r="A900" s="6">
        <v>1899</v>
      </c>
      <c r="B900" s="5">
        <v>45971</v>
      </c>
      <c r="C900" s="4" t="s">
        <v>19</v>
      </c>
      <c r="D900" s="4" t="s">
        <v>23</v>
      </c>
      <c r="E900" s="4" t="s">
        <v>24</v>
      </c>
      <c r="F900" s="4">
        <v>6</v>
      </c>
      <c r="G900" s="4">
        <v>150</v>
      </c>
      <c r="H900" s="4">
        <v>900</v>
      </c>
      <c r="I900" s="4">
        <v>678.56</v>
      </c>
      <c r="J900" s="4">
        <v>221.44</v>
      </c>
      <c r="K900" s="7" t="s">
        <v>21</v>
      </c>
    </row>
    <row r="901" spans="1:11" x14ac:dyDescent="0.25">
      <c r="A901" s="6">
        <v>1900</v>
      </c>
      <c r="B901" s="5">
        <v>45685</v>
      </c>
      <c r="C901" s="4" t="s">
        <v>15</v>
      </c>
      <c r="D901" s="4" t="s">
        <v>16</v>
      </c>
      <c r="E901" s="4" t="s">
        <v>22</v>
      </c>
      <c r="F901" s="4">
        <v>1</v>
      </c>
      <c r="G901" s="4">
        <v>500</v>
      </c>
      <c r="H901" s="4">
        <v>500</v>
      </c>
      <c r="I901" s="4">
        <v>432.69</v>
      </c>
      <c r="J901" s="4">
        <v>67.31</v>
      </c>
      <c r="K901" s="7" t="s">
        <v>14</v>
      </c>
    </row>
    <row r="902" spans="1:11" x14ac:dyDescent="0.25">
      <c r="A902" s="6">
        <v>1901</v>
      </c>
      <c r="B902" s="5">
        <v>45673</v>
      </c>
      <c r="C902" s="4" t="s">
        <v>11</v>
      </c>
      <c r="D902" s="4" t="s">
        <v>12</v>
      </c>
      <c r="E902" s="4" t="s">
        <v>33</v>
      </c>
      <c r="F902" s="4">
        <v>2</v>
      </c>
      <c r="G902" s="4">
        <v>12000</v>
      </c>
      <c r="H902" s="4">
        <v>24000</v>
      </c>
      <c r="I902" s="4">
        <v>15570.56</v>
      </c>
      <c r="J902" s="4">
        <v>8429.44</v>
      </c>
      <c r="K902" s="7" t="s">
        <v>21</v>
      </c>
    </row>
    <row r="903" spans="1:11" x14ac:dyDescent="0.25">
      <c r="A903" s="6">
        <v>1902</v>
      </c>
      <c r="B903" s="5">
        <v>45853</v>
      </c>
      <c r="C903" s="4" t="s">
        <v>30</v>
      </c>
      <c r="D903" s="4" t="s">
        <v>12</v>
      </c>
      <c r="E903" s="4" t="s">
        <v>31</v>
      </c>
      <c r="F903" s="4">
        <v>7</v>
      </c>
      <c r="G903" s="4">
        <v>5000</v>
      </c>
      <c r="H903" s="4">
        <v>35000</v>
      </c>
      <c r="I903" s="4">
        <v>23147.06</v>
      </c>
      <c r="J903" s="4">
        <v>11852.94</v>
      </c>
      <c r="K903" s="7" t="s">
        <v>21</v>
      </c>
    </row>
    <row r="904" spans="1:11" x14ac:dyDescent="0.25">
      <c r="A904" s="6">
        <v>1903</v>
      </c>
      <c r="B904" s="5">
        <v>45729</v>
      </c>
      <c r="C904" s="4" t="s">
        <v>11</v>
      </c>
      <c r="D904" s="4" t="s">
        <v>23</v>
      </c>
      <c r="E904" s="4" t="s">
        <v>26</v>
      </c>
      <c r="F904" s="4">
        <v>4</v>
      </c>
      <c r="G904" s="4">
        <v>5000</v>
      </c>
      <c r="H904" s="4">
        <v>20000</v>
      </c>
      <c r="I904" s="4">
        <v>12213.87</v>
      </c>
      <c r="J904" s="4">
        <v>7786.13</v>
      </c>
      <c r="K904" s="7" t="s">
        <v>29</v>
      </c>
    </row>
    <row r="905" spans="1:11" x14ac:dyDescent="0.25">
      <c r="A905" s="6">
        <v>1904</v>
      </c>
      <c r="B905" s="5">
        <v>46001</v>
      </c>
      <c r="C905" s="4" t="s">
        <v>11</v>
      </c>
      <c r="D905" s="4" t="s">
        <v>23</v>
      </c>
      <c r="E905" s="4" t="s">
        <v>24</v>
      </c>
      <c r="F905" s="4">
        <v>7</v>
      </c>
      <c r="G905" s="4">
        <v>250</v>
      </c>
      <c r="H905" s="4">
        <v>1750</v>
      </c>
      <c r="I905" s="4">
        <v>1139.19</v>
      </c>
      <c r="J905" s="4">
        <v>610.80999999999995</v>
      </c>
      <c r="K905" s="7" t="s">
        <v>28</v>
      </c>
    </row>
    <row r="906" spans="1:11" x14ac:dyDescent="0.25">
      <c r="A906" s="6">
        <v>1905</v>
      </c>
      <c r="B906" s="5">
        <v>45907</v>
      </c>
      <c r="C906" s="4" t="s">
        <v>30</v>
      </c>
      <c r="D906" s="4" t="s">
        <v>16</v>
      </c>
      <c r="E906" s="4" t="s">
        <v>20</v>
      </c>
      <c r="F906" s="4">
        <v>1</v>
      </c>
      <c r="G906" s="4">
        <v>250</v>
      </c>
      <c r="H906" s="4">
        <v>250</v>
      </c>
      <c r="I906" s="4">
        <v>200.62</v>
      </c>
      <c r="J906" s="4">
        <v>49.38</v>
      </c>
      <c r="K906" s="7" t="s">
        <v>28</v>
      </c>
    </row>
    <row r="907" spans="1:11" x14ac:dyDescent="0.25">
      <c r="A907" s="6">
        <v>1906</v>
      </c>
      <c r="B907" s="5">
        <v>46014</v>
      </c>
      <c r="C907" s="4" t="s">
        <v>19</v>
      </c>
      <c r="D907" s="4" t="s">
        <v>16</v>
      </c>
      <c r="E907" s="4" t="s">
        <v>20</v>
      </c>
      <c r="F907" s="4">
        <v>7</v>
      </c>
      <c r="G907" s="4">
        <v>12000</v>
      </c>
      <c r="H907" s="4">
        <v>84000</v>
      </c>
      <c r="I907" s="4">
        <v>59607.24</v>
      </c>
      <c r="J907" s="4">
        <v>24392.76</v>
      </c>
      <c r="K907" s="7" t="s">
        <v>21</v>
      </c>
    </row>
    <row r="908" spans="1:11" x14ac:dyDescent="0.25">
      <c r="A908" s="6">
        <v>1907</v>
      </c>
      <c r="B908" s="5">
        <v>45888</v>
      </c>
      <c r="C908" s="4" t="s">
        <v>30</v>
      </c>
      <c r="D908" s="4" t="s">
        <v>12</v>
      </c>
      <c r="E908" s="4" t="s">
        <v>13</v>
      </c>
      <c r="F908" s="4">
        <v>8</v>
      </c>
      <c r="G908" s="4">
        <v>2500</v>
      </c>
      <c r="H908" s="4">
        <v>20000</v>
      </c>
      <c r="I908" s="4">
        <v>13968.87</v>
      </c>
      <c r="J908" s="4">
        <v>6031.13</v>
      </c>
      <c r="K908" s="7" t="s">
        <v>27</v>
      </c>
    </row>
    <row r="909" spans="1:11" x14ac:dyDescent="0.25">
      <c r="A909" s="6">
        <v>1908</v>
      </c>
      <c r="B909" s="5">
        <v>45913</v>
      </c>
      <c r="C909" s="4" t="s">
        <v>11</v>
      </c>
      <c r="D909" s="4" t="s">
        <v>16</v>
      </c>
      <c r="E909" s="4" t="s">
        <v>20</v>
      </c>
      <c r="F909" s="4">
        <v>7</v>
      </c>
      <c r="G909" s="4">
        <v>2500</v>
      </c>
      <c r="H909" s="4">
        <v>17500</v>
      </c>
      <c r="I909" s="4">
        <v>9670.51</v>
      </c>
      <c r="J909" s="4">
        <v>7829.49</v>
      </c>
      <c r="K909" s="7" t="s">
        <v>14</v>
      </c>
    </row>
    <row r="910" spans="1:11" x14ac:dyDescent="0.25">
      <c r="A910" s="6">
        <v>1909</v>
      </c>
      <c r="B910" s="5">
        <v>45675</v>
      </c>
      <c r="C910" s="4" t="s">
        <v>15</v>
      </c>
      <c r="D910" s="4" t="s">
        <v>12</v>
      </c>
      <c r="E910" s="4" t="s">
        <v>33</v>
      </c>
      <c r="F910" s="4">
        <v>7</v>
      </c>
      <c r="G910" s="4">
        <v>2500</v>
      </c>
      <c r="H910" s="4">
        <v>17500</v>
      </c>
      <c r="I910" s="4">
        <v>13155.16</v>
      </c>
      <c r="J910" s="4">
        <v>4344.84</v>
      </c>
      <c r="K910" s="7" t="s">
        <v>29</v>
      </c>
    </row>
    <row r="911" spans="1:11" x14ac:dyDescent="0.25">
      <c r="A911" s="6">
        <v>1910</v>
      </c>
      <c r="B911" s="5">
        <v>46011</v>
      </c>
      <c r="C911" s="4" t="s">
        <v>15</v>
      </c>
      <c r="D911" s="4" t="s">
        <v>23</v>
      </c>
      <c r="E911" s="4" t="s">
        <v>26</v>
      </c>
      <c r="F911" s="4">
        <v>6</v>
      </c>
      <c r="G911" s="4">
        <v>150</v>
      </c>
      <c r="H911" s="4">
        <v>900</v>
      </c>
      <c r="I911" s="4">
        <v>677.78</v>
      </c>
      <c r="J911" s="4">
        <v>222.22</v>
      </c>
      <c r="K911" s="7" t="s">
        <v>28</v>
      </c>
    </row>
    <row r="912" spans="1:11" x14ac:dyDescent="0.25">
      <c r="A912" s="6">
        <v>1911</v>
      </c>
      <c r="B912" s="5">
        <v>45801</v>
      </c>
      <c r="C912" s="4" t="s">
        <v>30</v>
      </c>
      <c r="D912" s="4" t="s">
        <v>12</v>
      </c>
      <c r="E912" s="4" t="s">
        <v>31</v>
      </c>
      <c r="F912" s="4">
        <v>9</v>
      </c>
      <c r="G912" s="4">
        <v>12000</v>
      </c>
      <c r="H912" s="4">
        <v>108000</v>
      </c>
      <c r="I912" s="4">
        <v>96582.66</v>
      </c>
      <c r="J912" s="4">
        <v>11417.34</v>
      </c>
      <c r="K912" s="7" t="s">
        <v>29</v>
      </c>
    </row>
    <row r="913" spans="1:11" x14ac:dyDescent="0.25">
      <c r="A913" s="6">
        <v>1912</v>
      </c>
      <c r="B913" s="5">
        <v>45980</v>
      </c>
      <c r="C913" s="4" t="s">
        <v>15</v>
      </c>
      <c r="D913" s="4" t="s">
        <v>16</v>
      </c>
      <c r="E913" s="4" t="s">
        <v>17</v>
      </c>
      <c r="F913" s="4">
        <v>10</v>
      </c>
      <c r="G913" s="4">
        <v>150</v>
      </c>
      <c r="H913" s="4">
        <v>1500</v>
      </c>
      <c r="I913" s="4">
        <v>953.75</v>
      </c>
      <c r="J913" s="4">
        <v>546.25</v>
      </c>
      <c r="K913" s="7" t="s">
        <v>14</v>
      </c>
    </row>
    <row r="914" spans="1:11" x14ac:dyDescent="0.25">
      <c r="A914" s="6">
        <v>1913</v>
      </c>
      <c r="B914" s="5">
        <v>45833</v>
      </c>
      <c r="C914" s="4" t="s">
        <v>19</v>
      </c>
      <c r="D914" s="4" t="s">
        <v>12</v>
      </c>
      <c r="E914" s="4" t="s">
        <v>31</v>
      </c>
      <c r="F914" s="4">
        <v>10</v>
      </c>
      <c r="G914" s="4">
        <v>500</v>
      </c>
      <c r="H914" s="4">
        <v>5000</v>
      </c>
      <c r="I914" s="4">
        <v>3822.82</v>
      </c>
      <c r="J914" s="4">
        <v>1177.18</v>
      </c>
      <c r="K914" s="7" t="s">
        <v>18</v>
      </c>
    </row>
    <row r="915" spans="1:11" x14ac:dyDescent="0.25">
      <c r="A915" s="6">
        <v>1914</v>
      </c>
      <c r="B915" s="5">
        <v>45827</v>
      </c>
      <c r="C915" s="4" t="s">
        <v>30</v>
      </c>
      <c r="D915" s="4" t="s">
        <v>23</v>
      </c>
      <c r="E915" s="4" t="s">
        <v>24</v>
      </c>
      <c r="F915" s="4">
        <v>9</v>
      </c>
      <c r="G915" s="4">
        <v>1200</v>
      </c>
      <c r="H915" s="4">
        <v>10800</v>
      </c>
      <c r="I915" s="4">
        <v>8109.59</v>
      </c>
      <c r="J915" s="4">
        <v>2690.41</v>
      </c>
      <c r="K915" s="7" t="s">
        <v>27</v>
      </c>
    </row>
    <row r="916" spans="1:11" x14ac:dyDescent="0.25">
      <c r="A916" s="6">
        <v>1915</v>
      </c>
      <c r="B916" s="5">
        <v>45963</v>
      </c>
      <c r="C916" s="4" t="s">
        <v>32</v>
      </c>
      <c r="D916" s="4" t="s">
        <v>23</v>
      </c>
      <c r="E916" s="4" t="s">
        <v>24</v>
      </c>
      <c r="F916" s="4">
        <v>3</v>
      </c>
      <c r="G916" s="4">
        <v>150</v>
      </c>
      <c r="H916" s="4">
        <v>450</v>
      </c>
      <c r="I916" s="4">
        <v>356.97</v>
      </c>
      <c r="J916" s="4">
        <v>93.03</v>
      </c>
      <c r="K916" s="7" t="s">
        <v>14</v>
      </c>
    </row>
    <row r="917" spans="1:11" x14ac:dyDescent="0.25">
      <c r="A917" s="6">
        <v>1916</v>
      </c>
      <c r="B917" s="5">
        <v>45744</v>
      </c>
      <c r="C917" s="4" t="s">
        <v>19</v>
      </c>
      <c r="D917" s="4" t="s">
        <v>12</v>
      </c>
      <c r="E917" s="4" t="s">
        <v>33</v>
      </c>
      <c r="F917" s="4">
        <v>1</v>
      </c>
      <c r="G917" s="4">
        <v>5000</v>
      </c>
      <c r="H917" s="4">
        <v>5000</v>
      </c>
      <c r="I917" s="4">
        <v>3578.03</v>
      </c>
      <c r="J917" s="4">
        <v>1421.97</v>
      </c>
      <c r="K917" s="7" t="s">
        <v>18</v>
      </c>
    </row>
    <row r="918" spans="1:11" x14ac:dyDescent="0.25">
      <c r="A918" s="6">
        <v>1917</v>
      </c>
      <c r="B918" s="5">
        <v>45700</v>
      </c>
      <c r="C918" s="4" t="s">
        <v>11</v>
      </c>
      <c r="D918" s="4" t="s">
        <v>12</v>
      </c>
      <c r="E918" s="4" t="s">
        <v>33</v>
      </c>
      <c r="F918" s="4">
        <v>10</v>
      </c>
      <c r="G918" s="4">
        <v>150</v>
      </c>
      <c r="H918" s="4">
        <v>1500</v>
      </c>
      <c r="I918" s="4">
        <v>975.58</v>
      </c>
      <c r="J918" s="4">
        <v>524.41999999999996</v>
      </c>
      <c r="K918" s="7" t="s">
        <v>29</v>
      </c>
    </row>
    <row r="919" spans="1:11" x14ac:dyDescent="0.25">
      <c r="A919" s="6">
        <v>1918</v>
      </c>
      <c r="B919" s="5">
        <v>45798</v>
      </c>
      <c r="C919" s="4" t="s">
        <v>32</v>
      </c>
      <c r="D919" s="4" t="s">
        <v>16</v>
      </c>
      <c r="E919" s="4" t="s">
        <v>22</v>
      </c>
      <c r="F919" s="4">
        <v>5</v>
      </c>
      <c r="G919" s="4">
        <v>250</v>
      </c>
      <c r="H919" s="4">
        <v>1250</v>
      </c>
      <c r="I919" s="4">
        <v>956.91</v>
      </c>
      <c r="J919" s="4">
        <v>293.08999999999997</v>
      </c>
      <c r="K919" s="7" t="s">
        <v>18</v>
      </c>
    </row>
    <row r="920" spans="1:11" x14ac:dyDescent="0.25">
      <c r="A920" s="6">
        <v>1919</v>
      </c>
      <c r="B920" s="5">
        <v>45735</v>
      </c>
      <c r="C920" s="4" t="s">
        <v>30</v>
      </c>
      <c r="D920" s="4" t="s">
        <v>12</v>
      </c>
      <c r="E920" s="4" t="s">
        <v>13</v>
      </c>
      <c r="F920" s="4">
        <v>10</v>
      </c>
      <c r="G920" s="4">
        <v>250</v>
      </c>
      <c r="H920" s="4">
        <v>2500</v>
      </c>
      <c r="I920" s="4">
        <v>2171.37</v>
      </c>
      <c r="J920" s="4">
        <v>328.63</v>
      </c>
      <c r="K920" s="7" t="s">
        <v>27</v>
      </c>
    </row>
    <row r="921" spans="1:11" x14ac:dyDescent="0.25">
      <c r="A921" s="6">
        <v>1920</v>
      </c>
      <c r="B921" s="5">
        <v>45928</v>
      </c>
      <c r="C921" s="4" t="s">
        <v>15</v>
      </c>
      <c r="D921" s="4" t="s">
        <v>16</v>
      </c>
      <c r="E921" s="4" t="s">
        <v>22</v>
      </c>
      <c r="F921" s="4">
        <v>4</v>
      </c>
      <c r="G921" s="4">
        <v>1200</v>
      </c>
      <c r="H921" s="4">
        <v>4800</v>
      </c>
      <c r="I921" s="4">
        <v>2943.76</v>
      </c>
      <c r="J921" s="4">
        <v>1856.24</v>
      </c>
      <c r="K921" s="7" t="s">
        <v>27</v>
      </c>
    </row>
    <row r="922" spans="1:11" x14ac:dyDescent="0.25">
      <c r="A922" s="6">
        <v>1921</v>
      </c>
      <c r="B922" s="5">
        <v>45911</v>
      </c>
      <c r="C922" s="4" t="s">
        <v>30</v>
      </c>
      <c r="D922" s="4" t="s">
        <v>16</v>
      </c>
      <c r="E922" s="4" t="s">
        <v>20</v>
      </c>
      <c r="F922" s="4">
        <v>10</v>
      </c>
      <c r="G922" s="4">
        <v>12000</v>
      </c>
      <c r="H922" s="4">
        <v>120000</v>
      </c>
      <c r="I922" s="4">
        <v>72474.31</v>
      </c>
      <c r="J922" s="4">
        <v>47525.69</v>
      </c>
      <c r="K922" s="7" t="s">
        <v>21</v>
      </c>
    </row>
    <row r="923" spans="1:11" x14ac:dyDescent="0.25">
      <c r="A923" s="6">
        <v>1922</v>
      </c>
      <c r="B923" s="5">
        <v>45765</v>
      </c>
      <c r="C923" s="4" t="s">
        <v>19</v>
      </c>
      <c r="D923" s="4" t="s">
        <v>16</v>
      </c>
      <c r="E923" s="4" t="s">
        <v>17</v>
      </c>
      <c r="F923" s="4">
        <v>8</v>
      </c>
      <c r="G923" s="4">
        <v>5000</v>
      </c>
      <c r="H923" s="4">
        <v>40000</v>
      </c>
      <c r="I923" s="4">
        <v>30926.05</v>
      </c>
      <c r="J923" s="4">
        <v>9073.9500000000007</v>
      </c>
      <c r="K923" s="7" t="s">
        <v>14</v>
      </c>
    </row>
    <row r="924" spans="1:11" x14ac:dyDescent="0.25">
      <c r="A924" s="6">
        <v>1923</v>
      </c>
      <c r="B924" s="5">
        <v>45684</v>
      </c>
      <c r="C924" s="4" t="s">
        <v>11</v>
      </c>
      <c r="D924" s="4" t="s">
        <v>23</v>
      </c>
      <c r="E924" s="4" t="s">
        <v>25</v>
      </c>
      <c r="F924" s="4">
        <v>5</v>
      </c>
      <c r="G924" s="4">
        <v>12000</v>
      </c>
      <c r="H924" s="4">
        <v>60000</v>
      </c>
      <c r="I924" s="4">
        <v>50210.15</v>
      </c>
      <c r="J924" s="4">
        <v>9789.85</v>
      </c>
      <c r="K924" s="7" t="s">
        <v>21</v>
      </c>
    </row>
    <row r="925" spans="1:11" x14ac:dyDescent="0.25">
      <c r="A925" s="6">
        <v>1924</v>
      </c>
      <c r="B925" s="5">
        <v>45930</v>
      </c>
      <c r="C925" s="4" t="s">
        <v>11</v>
      </c>
      <c r="D925" s="4" t="s">
        <v>23</v>
      </c>
      <c r="E925" s="4" t="s">
        <v>24</v>
      </c>
      <c r="F925" s="4">
        <v>5</v>
      </c>
      <c r="G925" s="4">
        <v>1200</v>
      </c>
      <c r="H925" s="4">
        <v>6000</v>
      </c>
      <c r="I925" s="4">
        <v>4866.92</v>
      </c>
      <c r="J925" s="4">
        <v>1133.08</v>
      </c>
      <c r="K925" s="7" t="s">
        <v>21</v>
      </c>
    </row>
    <row r="926" spans="1:11" x14ac:dyDescent="0.25">
      <c r="A926" s="6">
        <v>1925</v>
      </c>
      <c r="B926" s="5">
        <v>45929</v>
      </c>
      <c r="C926" s="4" t="s">
        <v>30</v>
      </c>
      <c r="D926" s="4" t="s">
        <v>12</v>
      </c>
      <c r="E926" s="4" t="s">
        <v>31</v>
      </c>
      <c r="F926" s="4">
        <v>7</v>
      </c>
      <c r="G926" s="4">
        <v>1200</v>
      </c>
      <c r="H926" s="4">
        <v>8400</v>
      </c>
      <c r="I926" s="4">
        <v>5392.12</v>
      </c>
      <c r="J926" s="4">
        <v>3007.88</v>
      </c>
      <c r="K926" s="7" t="s">
        <v>18</v>
      </c>
    </row>
    <row r="927" spans="1:11" x14ac:dyDescent="0.25">
      <c r="A927" s="6">
        <v>1926</v>
      </c>
      <c r="B927" s="5">
        <v>45929</v>
      </c>
      <c r="C927" s="4" t="s">
        <v>15</v>
      </c>
      <c r="D927" s="4" t="s">
        <v>23</v>
      </c>
      <c r="E927" s="4" t="s">
        <v>24</v>
      </c>
      <c r="F927" s="4">
        <v>7</v>
      </c>
      <c r="G927" s="4">
        <v>5000</v>
      </c>
      <c r="H927" s="4">
        <v>35000</v>
      </c>
      <c r="I927" s="4">
        <v>23117.19</v>
      </c>
      <c r="J927" s="4">
        <v>11882.81</v>
      </c>
      <c r="K927" s="7" t="s">
        <v>18</v>
      </c>
    </row>
    <row r="928" spans="1:11" x14ac:dyDescent="0.25">
      <c r="A928" s="6">
        <v>1927</v>
      </c>
      <c r="B928" s="5">
        <v>45991</v>
      </c>
      <c r="C928" s="4" t="s">
        <v>32</v>
      </c>
      <c r="D928" s="4" t="s">
        <v>12</v>
      </c>
      <c r="E928" s="4" t="s">
        <v>31</v>
      </c>
      <c r="F928" s="4">
        <v>6</v>
      </c>
      <c r="G928" s="4">
        <v>12000</v>
      </c>
      <c r="H928" s="4">
        <v>72000</v>
      </c>
      <c r="I928" s="4">
        <v>50481</v>
      </c>
      <c r="J928" s="4">
        <v>21519</v>
      </c>
      <c r="K928" s="7" t="s">
        <v>27</v>
      </c>
    </row>
    <row r="929" spans="1:11" x14ac:dyDescent="0.25">
      <c r="A929" s="6">
        <v>1928</v>
      </c>
      <c r="B929" s="5">
        <v>45858</v>
      </c>
      <c r="C929" s="4" t="s">
        <v>30</v>
      </c>
      <c r="D929" s="4" t="s">
        <v>23</v>
      </c>
      <c r="E929" s="4" t="s">
        <v>24</v>
      </c>
      <c r="F929" s="4">
        <v>2</v>
      </c>
      <c r="G929" s="4">
        <v>500</v>
      </c>
      <c r="H929" s="4">
        <v>1000</v>
      </c>
      <c r="I929" s="4">
        <v>779.02</v>
      </c>
      <c r="J929" s="4">
        <v>220.98</v>
      </c>
      <c r="K929" s="7" t="s">
        <v>14</v>
      </c>
    </row>
    <row r="930" spans="1:11" x14ac:dyDescent="0.25">
      <c r="A930" s="6">
        <v>1929</v>
      </c>
      <c r="B930" s="5">
        <v>45830</v>
      </c>
      <c r="C930" s="4" t="s">
        <v>11</v>
      </c>
      <c r="D930" s="4" t="s">
        <v>12</v>
      </c>
      <c r="E930" s="4" t="s">
        <v>13</v>
      </c>
      <c r="F930" s="4">
        <v>10</v>
      </c>
      <c r="G930" s="4">
        <v>12000</v>
      </c>
      <c r="H930" s="4">
        <v>120000</v>
      </c>
      <c r="I930" s="4">
        <v>74186.880000000005</v>
      </c>
      <c r="J930" s="4">
        <v>45813.120000000003</v>
      </c>
      <c r="K930" s="7" t="s">
        <v>27</v>
      </c>
    </row>
    <row r="931" spans="1:11" x14ac:dyDescent="0.25">
      <c r="A931" s="6">
        <v>1930</v>
      </c>
      <c r="B931" s="5">
        <v>45868</v>
      </c>
      <c r="C931" s="4" t="s">
        <v>15</v>
      </c>
      <c r="D931" s="4" t="s">
        <v>12</v>
      </c>
      <c r="E931" s="4" t="s">
        <v>13</v>
      </c>
      <c r="F931" s="4">
        <v>1</v>
      </c>
      <c r="G931" s="4">
        <v>12000</v>
      </c>
      <c r="H931" s="4">
        <v>12000</v>
      </c>
      <c r="I931" s="4">
        <v>6885.4</v>
      </c>
      <c r="J931" s="4">
        <v>5114.6000000000004</v>
      </c>
      <c r="K931" s="7" t="s">
        <v>29</v>
      </c>
    </row>
    <row r="932" spans="1:11" x14ac:dyDescent="0.25">
      <c r="A932" s="6">
        <v>1931</v>
      </c>
      <c r="B932" s="5">
        <v>45803</v>
      </c>
      <c r="C932" s="4" t="s">
        <v>32</v>
      </c>
      <c r="D932" s="4" t="s">
        <v>16</v>
      </c>
      <c r="E932" s="4" t="s">
        <v>17</v>
      </c>
      <c r="F932" s="4">
        <v>8</v>
      </c>
      <c r="G932" s="4">
        <v>500</v>
      </c>
      <c r="H932" s="4">
        <v>4000</v>
      </c>
      <c r="I932" s="4">
        <v>2507.1799999999998</v>
      </c>
      <c r="J932" s="4">
        <v>1492.82</v>
      </c>
      <c r="K932" s="7" t="s">
        <v>28</v>
      </c>
    </row>
    <row r="933" spans="1:11" x14ac:dyDescent="0.25">
      <c r="A933" s="6">
        <v>1932</v>
      </c>
      <c r="B933" s="5">
        <v>45962</v>
      </c>
      <c r="C933" s="4" t="s">
        <v>11</v>
      </c>
      <c r="D933" s="4" t="s">
        <v>16</v>
      </c>
      <c r="E933" s="4" t="s">
        <v>20</v>
      </c>
      <c r="F933" s="4">
        <v>10</v>
      </c>
      <c r="G933" s="4">
        <v>150</v>
      </c>
      <c r="H933" s="4">
        <v>1500</v>
      </c>
      <c r="I933" s="4">
        <v>854.86</v>
      </c>
      <c r="J933" s="4">
        <v>645.14</v>
      </c>
      <c r="K933" s="7" t="s">
        <v>29</v>
      </c>
    </row>
    <row r="934" spans="1:11" x14ac:dyDescent="0.25">
      <c r="A934" s="6">
        <v>1933</v>
      </c>
      <c r="B934" s="5">
        <v>45724</v>
      </c>
      <c r="C934" s="4" t="s">
        <v>30</v>
      </c>
      <c r="D934" s="4" t="s">
        <v>12</v>
      </c>
      <c r="E934" s="4" t="s">
        <v>13</v>
      </c>
      <c r="F934" s="4">
        <v>2</v>
      </c>
      <c r="G934" s="4">
        <v>150</v>
      </c>
      <c r="H934" s="4">
        <v>300</v>
      </c>
      <c r="I934" s="4">
        <v>254.93</v>
      </c>
      <c r="J934" s="4">
        <v>45.07</v>
      </c>
      <c r="K934" s="7" t="s">
        <v>14</v>
      </c>
    </row>
    <row r="935" spans="1:11" x14ac:dyDescent="0.25">
      <c r="A935" s="6">
        <v>1934</v>
      </c>
      <c r="B935" s="5">
        <v>45787</v>
      </c>
      <c r="C935" s="4" t="s">
        <v>32</v>
      </c>
      <c r="D935" s="4" t="s">
        <v>12</v>
      </c>
      <c r="E935" s="4" t="s">
        <v>31</v>
      </c>
      <c r="F935" s="4">
        <v>3</v>
      </c>
      <c r="G935" s="4">
        <v>150</v>
      </c>
      <c r="H935" s="4">
        <v>450</v>
      </c>
      <c r="I935" s="4">
        <v>357.07</v>
      </c>
      <c r="J935" s="4">
        <v>92.93</v>
      </c>
      <c r="K935" s="7" t="s">
        <v>21</v>
      </c>
    </row>
    <row r="936" spans="1:11" x14ac:dyDescent="0.25">
      <c r="A936" s="6">
        <v>1935</v>
      </c>
      <c r="B936" s="5">
        <v>46012</v>
      </c>
      <c r="C936" s="4" t="s">
        <v>32</v>
      </c>
      <c r="D936" s="4" t="s">
        <v>12</v>
      </c>
      <c r="E936" s="4" t="s">
        <v>13</v>
      </c>
      <c r="F936" s="4">
        <v>8</v>
      </c>
      <c r="G936" s="4">
        <v>500</v>
      </c>
      <c r="H936" s="4">
        <v>4000</v>
      </c>
      <c r="I936" s="4">
        <v>3277.1</v>
      </c>
      <c r="J936" s="4">
        <v>722.9</v>
      </c>
      <c r="K936" s="7" t="s">
        <v>27</v>
      </c>
    </row>
    <row r="937" spans="1:11" x14ac:dyDescent="0.25">
      <c r="A937" s="6">
        <v>1936</v>
      </c>
      <c r="B937" s="5">
        <v>45856</v>
      </c>
      <c r="C937" s="4" t="s">
        <v>32</v>
      </c>
      <c r="D937" s="4" t="s">
        <v>16</v>
      </c>
      <c r="E937" s="4" t="s">
        <v>20</v>
      </c>
      <c r="F937" s="4">
        <v>5</v>
      </c>
      <c r="G937" s="4">
        <v>12000</v>
      </c>
      <c r="H937" s="4">
        <v>60000</v>
      </c>
      <c r="I937" s="4">
        <v>34310.129999999997</v>
      </c>
      <c r="J937" s="4">
        <v>25689.87</v>
      </c>
      <c r="K937" s="7" t="s">
        <v>18</v>
      </c>
    </row>
    <row r="938" spans="1:11" x14ac:dyDescent="0.25">
      <c r="A938" s="6">
        <v>1937</v>
      </c>
      <c r="B938" s="5">
        <v>45760</v>
      </c>
      <c r="C938" s="4" t="s">
        <v>19</v>
      </c>
      <c r="D938" s="4" t="s">
        <v>23</v>
      </c>
      <c r="E938" s="4" t="s">
        <v>24</v>
      </c>
      <c r="F938" s="4">
        <v>3</v>
      </c>
      <c r="G938" s="4">
        <v>1200</v>
      </c>
      <c r="H938" s="4">
        <v>3600</v>
      </c>
      <c r="I938" s="4">
        <v>2067.44</v>
      </c>
      <c r="J938" s="4">
        <v>1532.56</v>
      </c>
      <c r="K938" s="7" t="s">
        <v>21</v>
      </c>
    </row>
    <row r="939" spans="1:11" x14ac:dyDescent="0.25">
      <c r="A939" s="6">
        <v>1938</v>
      </c>
      <c r="B939" s="5">
        <v>45878</v>
      </c>
      <c r="C939" s="4" t="s">
        <v>11</v>
      </c>
      <c r="D939" s="4" t="s">
        <v>16</v>
      </c>
      <c r="E939" s="4" t="s">
        <v>17</v>
      </c>
      <c r="F939" s="4">
        <v>8</v>
      </c>
      <c r="G939" s="4">
        <v>150</v>
      </c>
      <c r="H939" s="4">
        <v>1200</v>
      </c>
      <c r="I939" s="4">
        <v>720.43</v>
      </c>
      <c r="J939" s="4">
        <v>479.57</v>
      </c>
      <c r="K939" s="7" t="s">
        <v>29</v>
      </c>
    </row>
    <row r="940" spans="1:11" x14ac:dyDescent="0.25">
      <c r="A940" s="6">
        <v>1939</v>
      </c>
      <c r="B940" s="5">
        <v>45675</v>
      </c>
      <c r="C940" s="4" t="s">
        <v>15</v>
      </c>
      <c r="D940" s="4" t="s">
        <v>12</v>
      </c>
      <c r="E940" s="4" t="s">
        <v>13</v>
      </c>
      <c r="F940" s="4">
        <v>8</v>
      </c>
      <c r="G940" s="4">
        <v>5000</v>
      </c>
      <c r="H940" s="4">
        <v>40000</v>
      </c>
      <c r="I940" s="4">
        <v>25625.95</v>
      </c>
      <c r="J940" s="4">
        <v>14374.05</v>
      </c>
      <c r="K940" s="7" t="s">
        <v>18</v>
      </c>
    </row>
    <row r="941" spans="1:11" x14ac:dyDescent="0.25">
      <c r="A941" s="6">
        <v>1940</v>
      </c>
      <c r="B941" s="5">
        <v>45912</v>
      </c>
      <c r="C941" s="4" t="s">
        <v>11</v>
      </c>
      <c r="D941" s="4" t="s">
        <v>12</v>
      </c>
      <c r="E941" s="4" t="s">
        <v>31</v>
      </c>
      <c r="F941" s="4">
        <v>5</v>
      </c>
      <c r="G941" s="4">
        <v>12000</v>
      </c>
      <c r="H941" s="4">
        <v>60000</v>
      </c>
      <c r="I941" s="4">
        <v>42363.519999999997</v>
      </c>
      <c r="J941" s="4">
        <v>17636.48</v>
      </c>
      <c r="K941" s="7" t="s">
        <v>14</v>
      </c>
    </row>
    <row r="942" spans="1:11" x14ac:dyDescent="0.25">
      <c r="A942" s="6">
        <v>1941</v>
      </c>
      <c r="B942" s="5">
        <v>45735</v>
      </c>
      <c r="C942" s="4" t="s">
        <v>32</v>
      </c>
      <c r="D942" s="4" t="s">
        <v>12</v>
      </c>
      <c r="E942" s="4" t="s">
        <v>13</v>
      </c>
      <c r="F942" s="4">
        <v>1</v>
      </c>
      <c r="G942" s="4">
        <v>5000</v>
      </c>
      <c r="H942" s="4">
        <v>5000</v>
      </c>
      <c r="I942" s="4">
        <v>3433.35</v>
      </c>
      <c r="J942" s="4">
        <v>1566.65</v>
      </c>
      <c r="K942" s="7" t="s">
        <v>21</v>
      </c>
    </row>
    <row r="943" spans="1:11" x14ac:dyDescent="0.25">
      <c r="A943" s="6">
        <v>1942</v>
      </c>
      <c r="B943" s="5">
        <v>45909</v>
      </c>
      <c r="C943" s="4" t="s">
        <v>30</v>
      </c>
      <c r="D943" s="4" t="s">
        <v>12</v>
      </c>
      <c r="E943" s="4" t="s">
        <v>13</v>
      </c>
      <c r="F943" s="4">
        <v>9</v>
      </c>
      <c r="G943" s="4">
        <v>5000</v>
      </c>
      <c r="H943" s="4">
        <v>45000</v>
      </c>
      <c r="I943" s="4">
        <v>39553.599999999999</v>
      </c>
      <c r="J943" s="4">
        <v>5446.4</v>
      </c>
      <c r="K943" s="7" t="s">
        <v>21</v>
      </c>
    </row>
    <row r="944" spans="1:11" x14ac:dyDescent="0.25">
      <c r="A944" s="6">
        <v>1943</v>
      </c>
      <c r="B944" s="5">
        <v>45854</v>
      </c>
      <c r="C944" s="4" t="s">
        <v>30</v>
      </c>
      <c r="D944" s="4" t="s">
        <v>23</v>
      </c>
      <c r="E944" s="4" t="s">
        <v>26</v>
      </c>
      <c r="F944" s="4">
        <v>2</v>
      </c>
      <c r="G944" s="4">
        <v>2500</v>
      </c>
      <c r="H944" s="4">
        <v>5000</v>
      </c>
      <c r="I944" s="4">
        <v>3145.23</v>
      </c>
      <c r="J944" s="4">
        <v>1854.77</v>
      </c>
      <c r="K944" s="7" t="s">
        <v>18</v>
      </c>
    </row>
    <row r="945" spans="1:11" x14ac:dyDescent="0.25">
      <c r="A945" s="6">
        <v>1944</v>
      </c>
      <c r="B945" s="5">
        <v>45863</v>
      </c>
      <c r="C945" s="4" t="s">
        <v>15</v>
      </c>
      <c r="D945" s="4" t="s">
        <v>12</v>
      </c>
      <c r="E945" s="4" t="s">
        <v>31</v>
      </c>
      <c r="F945" s="4">
        <v>6</v>
      </c>
      <c r="G945" s="4">
        <v>500</v>
      </c>
      <c r="H945" s="4">
        <v>3000</v>
      </c>
      <c r="I945" s="4">
        <v>2365.9299999999998</v>
      </c>
      <c r="J945" s="4">
        <v>634.07000000000005</v>
      </c>
      <c r="K945" s="7" t="s">
        <v>14</v>
      </c>
    </row>
    <row r="946" spans="1:11" x14ac:dyDescent="0.25">
      <c r="A946" s="6">
        <v>1945</v>
      </c>
      <c r="B946" s="5">
        <v>45832</v>
      </c>
      <c r="C946" s="4" t="s">
        <v>15</v>
      </c>
      <c r="D946" s="4" t="s">
        <v>12</v>
      </c>
      <c r="E946" s="4" t="s">
        <v>13</v>
      </c>
      <c r="F946" s="4">
        <v>6</v>
      </c>
      <c r="G946" s="4">
        <v>2500</v>
      </c>
      <c r="H946" s="4">
        <v>15000</v>
      </c>
      <c r="I946" s="4">
        <v>12730.05</v>
      </c>
      <c r="J946" s="4">
        <v>2269.9499999999998</v>
      </c>
      <c r="K946" s="7" t="s">
        <v>21</v>
      </c>
    </row>
    <row r="947" spans="1:11" x14ac:dyDescent="0.25">
      <c r="A947" s="6">
        <v>1946</v>
      </c>
      <c r="B947" s="5">
        <v>45854</v>
      </c>
      <c r="C947" s="4" t="s">
        <v>11</v>
      </c>
      <c r="D947" s="4" t="s">
        <v>23</v>
      </c>
      <c r="E947" s="4" t="s">
        <v>26</v>
      </c>
      <c r="F947" s="4">
        <v>4</v>
      </c>
      <c r="G947" s="4">
        <v>250</v>
      </c>
      <c r="H947" s="4">
        <v>1000</v>
      </c>
      <c r="I947" s="4">
        <v>744.07</v>
      </c>
      <c r="J947" s="4">
        <v>255.93</v>
      </c>
      <c r="K947" s="7" t="s">
        <v>27</v>
      </c>
    </row>
    <row r="948" spans="1:11" x14ac:dyDescent="0.25">
      <c r="A948" s="6">
        <v>1947</v>
      </c>
      <c r="B948" s="5">
        <v>45907</v>
      </c>
      <c r="C948" s="4" t="s">
        <v>15</v>
      </c>
      <c r="D948" s="4" t="s">
        <v>12</v>
      </c>
      <c r="E948" s="4" t="s">
        <v>33</v>
      </c>
      <c r="F948" s="4">
        <v>2</v>
      </c>
      <c r="G948" s="4">
        <v>5000</v>
      </c>
      <c r="H948" s="4">
        <v>10000</v>
      </c>
      <c r="I948" s="4">
        <v>7910.95</v>
      </c>
      <c r="J948" s="4">
        <v>2089.0500000000002</v>
      </c>
      <c r="K948" s="7" t="s">
        <v>14</v>
      </c>
    </row>
    <row r="949" spans="1:11" x14ac:dyDescent="0.25">
      <c r="A949" s="6">
        <v>1948</v>
      </c>
      <c r="B949" s="5">
        <v>45670</v>
      </c>
      <c r="C949" s="4" t="s">
        <v>19</v>
      </c>
      <c r="D949" s="4" t="s">
        <v>23</v>
      </c>
      <c r="E949" s="4" t="s">
        <v>26</v>
      </c>
      <c r="F949" s="4">
        <v>4</v>
      </c>
      <c r="G949" s="4">
        <v>250</v>
      </c>
      <c r="H949" s="4">
        <v>1000</v>
      </c>
      <c r="I949" s="4">
        <v>562.49</v>
      </c>
      <c r="J949" s="4">
        <v>437.51</v>
      </c>
      <c r="K949" s="7" t="s">
        <v>28</v>
      </c>
    </row>
    <row r="950" spans="1:11" x14ac:dyDescent="0.25">
      <c r="A950" s="6">
        <v>1949</v>
      </c>
      <c r="B950" s="5">
        <v>45815</v>
      </c>
      <c r="C950" s="4" t="s">
        <v>30</v>
      </c>
      <c r="D950" s="4" t="s">
        <v>23</v>
      </c>
      <c r="E950" s="4" t="s">
        <v>24</v>
      </c>
      <c r="F950" s="4">
        <v>2</v>
      </c>
      <c r="G950" s="4">
        <v>12000</v>
      </c>
      <c r="H950" s="4">
        <v>24000</v>
      </c>
      <c r="I950" s="4">
        <v>17740.64</v>
      </c>
      <c r="J950" s="4">
        <v>6259.36</v>
      </c>
      <c r="K950" s="7" t="s">
        <v>29</v>
      </c>
    </row>
    <row r="951" spans="1:11" x14ac:dyDescent="0.25">
      <c r="A951" s="6">
        <v>1950</v>
      </c>
      <c r="B951" s="5">
        <v>45679</v>
      </c>
      <c r="C951" s="4" t="s">
        <v>30</v>
      </c>
      <c r="D951" s="4" t="s">
        <v>23</v>
      </c>
      <c r="E951" s="4" t="s">
        <v>25</v>
      </c>
      <c r="F951" s="4">
        <v>1</v>
      </c>
      <c r="G951" s="4">
        <v>500</v>
      </c>
      <c r="H951" s="4">
        <v>500</v>
      </c>
      <c r="I951" s="4">
        <v>284.81</v>
      </c>
      <c r="J951" s="4">
        <v>215.19</v>
      </c>
      <c r="K951" s="7" t="s">
        <v>18</v>
      </c>
    </row>
    <row r="952" spans="1:11" x14ac:dyDescent="0.25">
      <c r="A952" s="6">
        <v>1951</v>
      </c>
      <c r="B952" s="5">
        <v>45932</v>
      </c>
      <c r="C952" s="4" t="s">
        <v>11</v>
      </c>
      <c r="D952" s="4" t="s">
        <v>16</v>
      </c>
      <c r="E952" s="4" t="s">
        <v>17</v>
      </c>
      <c r="F952" s="4">
        <v>9</v>
      </c>
      <c r="G952" s="4">
        <v>1200</v>
      </c>
      <c r="H952" s="4">
        <v>10800</v>
      </c>
      <c r="I952" s="4">
        <v>9493.5400000000009</v>
      </c>
      <c r="J952" s="4">
        <v>1306.46</v>
      </c>
      <c r="K952" s="7" t="s">
        <v>14</v>
      </c>
    </row>
    <row r="953" spans="1:11" x14ac:dyDescent="0.25">
      <c r="A953" s="6">
        <v>1952</v>
      </c>
      <c r="B953" s="5">
        <v>45908</v>
      </c>
      <c r="C953" s="4" t="s">
        <v>15</v>
      </c>
      <c r="D953" s="4" t="s">
        <v>12</v>
      </c>
      <c r="E953" s="4" t="s">
        <v>13</v>
      </c>
      <c r="F953" s="4">
        <v>2</v>
      </c>
      <c r="G953" s="4">
        <v>150</v>
      </c>
      <c r="H953" s="4">
        <v>300</v>
      </c>
      <c r="I953" s="4">
        <v>242.22</v>
      </c>
      <c r="J953" s="4">
        <v>57.78</v>
      </c>
      <c r="K953" s="7" t="s">
        <v>21</v>
      </c>
    </row>
    <row r="954" spans="1:11" x14ac:dyDescent="0.25">
      <c r="A954" s="6">
        <v>1953</v>
      </c>
      <c r="B954" s="5">
        <v>45665</v>
      </c>
      <c r="C954" s="4" t="s">
        <v>11</v>
      </c>
      <c r="D954" s="4" t="s">
        <v>12</v>
      </c>
      <c r="E954" s="4" t="s">
        <v>13</v>
      </c>
      <c r="F954" s="4">
        <v>4</v>
      </c>
      <c r="G954" s="4">
        <v>5000</v>
      </c>
      <c r="H954" s="4">
        <v>20000</v>
      </c>
      <c r="I954" s="4">
        <v>15541.5</v>
      </c>
      <c r="J954" s="4">
        <v>4458.5</v>
      </c>
      <c r="K954" s="7" t="s">
        <v>14</v>
      </c>
    </row>
    <row r="955" spans="1:11" x14ac:dyDescent="0.25">
      <c r="A955" s="6">
        <v>1954</v>
      </c>
      <c r="B955" s="5">
        <v>45960</v>
      </c>
      <c r="C955" s="4" t="s">
        <v>15</v>
      </c>
      <c r="D955" s="4" t="s">
        <v>16</v>
      </c>
      <c r="E955" s="4" t="s">
        <v>22</v>
      </c>
      <c r="F955" s="4">
        <v>2</v>
      </c>
      <c r="G955" s="4">
        <v>1200</v>
      </c>
      <c r="H955" s="4">
        <v>2400</v>
      </c>
      <c r="I955" s="4">
        <v>1833.43</v>
      </c>
      <c r="J955" s="4">
        <v>566.57000000000005</v>
      </c>
      <c r="K955" s="7" t="s">
        <v>18</v>
      </c>
    </row>
    <row r="956" spans="1:11" x14ac:dyDescent="0.25">
      <c r="A956" s="6">
        <v>1955</v>
      </c>
      <c r="B956" s="5">
        <v>45690</v>
      </c>
      <c r="C956" s="4" t="s">
        <v>11</v>
      </c>
      <c r="D956" s="4" t="s">
        <v>16</v>
      </c>
      <c r="E956" s="4" t="s">
        <v>22</v>
      </c>
      <c r="F956" s="4">
        <v>10</v>
      </c>
      <c r="G956" s="4">
        <v>12000</v>
      </c>
      <c r="H956" s="4">
        <v>120000</v>
      </c>
      <c r="I956" s="4">
        <v>91856.4</v>
      </c>
      <c r="J956" s="4">
        <v>28143.599999999999</v>
      </c>
      <c r="K956" s="7" t="s">
        <v>21</v>
      </c>
    </row>
    <row r="957" spans="1:11" x14ac:dyDescent="0.25">
      <c r="A957" s="6">
        <v>1956</v>
      </c>
      <c r="B957" s="5">
        <v>46008</v>
      </c>
      <c r="C957" s="4" t="s">
        <v>19</v>
      </c>
      <c r="D957" s="4" t="s">
        <v>23</v>
      </c>
      <c r="E957" s="4" t="s">
        <v>26</v>
      </c>
      <c r="F957" s="4">
        <v>7</v>
      </c>
      <c r="G957" s="4">
        <v>500</v>
      </c>
      <c r="H957" s="4">
        <v>3500</v>
      </c>
      <c r="I957" s="4">
        <v>2072.98</v>
      </c>
      <c r="J957" s="4">
        <v>1427.02</v>
      </c>
      <c r="K957" s="7" t="s">
        <v>29</v>
      </c>
    </row>
    <row r="958" spans="1:11" x14ac:dyDescent="0.25">
      <c r="A958" s="6">
        <v>1957</v>
      </c>
      <c r="B958" s="5">
        <v>45746</v>
      </c>
      <c r="C958" s="4" t="s">
        <v>32</v>
      </c>
      <c r="D958" s="4" t="s">
        <v>16</v>
      </c>
      <c r="E958" s="4" t="s">
        <v>22</v>
      </c>
      <c r="F958" s="4">
        <v>4</v>
      </c>
      <c r="G958" s="4">
        <v>12000</v>
      </c>
      <c r="H958" s="4">
        <v>48000</v>
      </c>
      <c r="I958" s="4">
        <v>27165.85</v>
      </c>
      <c r="J958" s="4">
        <v>20834.150000000001</v>
      </c>
      <c r="K958" s="7" t="s">
        <v>18</v>
      </c>
    </row>
    <row r="959" spans="1:11" x14ac:dyDescent="0.25">
      <c r="A959" s="6">
        <v>1958</v>
      </c>
      <c r="B959" s="5">
        <v>46014</v>
      </c>
      <c r="C959" s="4" t="s">
        <v>32</v>
      </c>
      <c r="D959" s="4" t="s">
        <v>16</v>
      </c>
      <c r="E959" s="4" t="s">
        <v>22</v>
      </c>
      <c r="F959" s="4">
        <v>3</v>
      </c>
      <c r="G959" s="4">
        <v>12000</v>
      </c>
      <c r="H959" s="4">
        <v>36000</v>
      </c>
      <c r="I959" s="4">
        <v>25030.94</v>
      </c>
      <c r="J959" s="4">
        <v>10969.06</v>
      </c>
      <c r="K959" s="7" t="s">
        <v>29</v>
      </c>
    </row>
    <row r="960" spans="1:11" x14ac:dyDescent="0.25">
      <c r="A960" s="6">
        <v>1959</v>
      </c>
      <c r="B960" s="5">
        <v>45709</v>
      </c>
      <c r="C960" s="4" t="s">
        <v>19</v>
      </c>
      <c r="D960" s="4" t="s">
        <v>16</v>
      </c>
      <c r="E960" s="4" t="s">
        <v>22</v>
      </c>
      <c r="F960" s="4">
        <v>4</v>
      </c>
      <c r="G960" s="4">
        <v>2500</v>
      </c>
      <c r="H960" s="4">
        <v>10000</v>
      </c>
      <c r="I960" s="4">
        <v>5642.45</v>
      </c>
      <c r="J960" s="4">
        <v>4357.55</v>
      </c>
      <c r="K960" s="7" t="s">
        <v>21</v>
      </c>
    </row>
    <row r="961" spans="1:11" x14ac:dyDescent="0.25">
      <c r="A961" s="6">
        <v>1960</v>
      </c>
      <c r="B961" s="5">
        <v>45749</v>
      </c>
      <c r="C961" s="4" t="s">
        <v>15</v>
      </c>
      <c r="D961" s="4" t="s">
        <v>16</v>
      </c>
      <c r="E961" s="4" t="s">
        <v>20</v>
      </c>
      <c r="F961" s="4">
        <v>8</v>
      </c>
      <c r="G961" s="4">
        <v>150</v>
      </c>
      <c r="H961" s="4">
        <v>1200</v>
      </c>
      <c r="I961" s="4">
        <v>662.67</v>
      </c>
      <c r="J961" s="4">
        <v>537.33000000000004</v>
      </c>
      <c r="K961" s="7" t="s">
        <v>14</v>
      </c>
    </row>
    <row r="962" spans="1:11" x14ac:dyDescent="0.25">
      <c r="A962" s="6">
        <v>1961</v>
      </c>
      <c r="B962" s="5">
        <v>45901</v>
      </c>
      <c r="C962" s="4" t="s">
        <v>11</v>
      </c>
      <c r="D962" s="4" t="s">
        <v>12</v>
      </c>
      <c r="E962" s="4" t="s">
        <v>31</v>
      </c>
      <c r="F962" s="4">
        <v>5</v>
      </c>
      <c r="G962" s="4">
        <v>1200</v>
      </c>
      <c r="H962" s="4">
        <v>6000</v>
      </c>
      <c r="I962" s="4">
        <v>4756.3599999999997</v>
      </c>
      <c r="J962" s="4">
        <v>1243.6400000000001</v>
      </c>
      <c r="K962" s="7" t="s">
        <v>28</v>
      </c>
    </row>
    <row r="963" spans="1:11" x14ac:dyDescent="0.25">
      <c r="A963" s="6">
        <v>1962</v>
      </c>
      <c r="B963" s="5">
        <v>45780</v>
      </c>
      <c r="C963" s="4" t="s">
        <v>11</v>
      </c>
      <c r="D963" s="4" t="s">
        <v>16</v>
      </c>
      <c r="E963" s="4" t="s">
        <v>17</v>
      </c>
      <c r="F963" s="4">
        <v>5</v>
      </c>
      <c r="G963" s="4">
        <v>2500</v>
      </c>
      <c r="H963" s="4">
        <v>12500</v>
      </c>
      <c r="I963" s="4">
        <v>8845.58</v>
      </c>
      <c r="J963" s="4">
        <v>3654.42</v>
      </c>
      <c r="K963" s="7" t="s">
        <v>29</v>
      </c>
    </row>
    <row r="964" spans="1:11" x14ac:dyDescent="0.25">
      <c r="A964" s="6">
        <v>1963</v>
      </c>
      <c r="B964" s="5">
        <v>45971</v>
      </c>
      <c r="C964" s="4" t="s">
        <v>15</v>
      </c>
      <c r="D964" s="4" t="s">
        <v>12</v>
      </c>
      <c r="E964" s="4" t="s">
        <v>13</v>
      </c>
      <c r="F964" s="4">
        <v>10</v>
      </c>
      <c r="G964" s="4">
        <v>250</v>
      </c>
      <c r="H964" s="4">
        <v>2500</v>
      </c>
      <c r="I964" s="4">
        <v>2002.55</v>
      </c>
      <c r="J964" s="4">
        <v>497.45</v>
      </c>
      <c r="K964" s="7" t="s">
        <v>14</v>
      </c>
    </row>
    <row r="965" spans="1:11" x14ac:dyDescent="0.25">
      <c r="A965" s="6">
        <v>1964</v>
      </c>
      <c r="B965" s="5">
        <v>45756</v>
      </c>
      <c r="C965" s="4" t="s">
        <v>15</v>
      </c>
      <c r="D965" s="4" t="s">
        <v>23</v>
      </c>
      <c r="E965" s="4" t="s">
        <v>24</v>
      </c>
      <c r="F965" s="4">
        <v>7</v>
      </c>
      <c r="G965" s="4">
        <v>150</v>
      </c>
      <c r="H965" s="4">
        <v>1050</v>
      </c>
      <c r="I965" s="4">
        <v>782.46</v>
      </c>
      <c r="J965" s="4">
        <v>267.54000000000002</v>
      </c>
      <c r="K965" s="7" t="s">
        <v>29</v>
      </c>
    </row>
    <row r="966" spans="1:11" x14ac:dyDescent="0.25">
      <c r="A966" s="6">
        <v>1965</v>
      </c>
      <c r="B966" s="5">
        <v>45934</v>
      </c>
      <c r="C966" s="4" t="s">
        <v>19</v>
      </c>
      <c r="D966" s="4" t="s">
        <v>16</v>
      </c>
      <c r="E966" s="4" t="s">
        <v>17</v>
      </c>
      <c r="F966" s="4">
        <v>6</v>
      </c>
      <c r="G966" s="4">
        <v>12000</v>
      </c>
      <c r="H966" s="4">
        <v>72000</v>
      </c>
      <c r="I966" s="4">
        <v>58780.43</v>
      </c>
      <c r="J966" s="4">
        <v>13219.57</v>
      </c>
      <c r="K966" s="7" t="s">
        <v>28</v>
      </c>
    </row>
    <row r="967" spans="1:11" x14ac:dyDescent="0.25">
      <c r="A967" s="6">
        <v>1966</v>
      </c>
      <c r="B967" s="5">
        <v>45715</v>
      </c>
      <c r="C967" s="4" t="s">
        <v>11</v>
      </c>
      <c r="D967" s="4" t="s">
        <v>23</v>
      </c>
      <c r="E967" s="4" t="s">
        <v>26</v>
      </c>
      <c r="F967" s="4">
        <v>4</v>
      </c>
      <c r="G967" s="4">
        <v>500</v>
      </c>
      <c r="H967" s="4">
        <v>2000</v>
      </c>
      <c r="I967" s="4">
        <v>1137.1500000000001</v>
      </c>
      <c r="J967" s="4">
        <v>862.85</v>
      </c>
      <c r="K967" s="7" t="s">
        <v>14</v>
      </c>
    </row>
    <row r="968" spans="1:11" x14ac:dyDescent="0.25">
      <c r="A968" s="6">
        <v>1967</v>
      </c>
      <c r="B968" s="5">
        <v>45680</v>
      </c>
      <c r="C968" s="4" t="s">
        <v>15</v>
      </c>
      <c r="D968" s="4" t="s">
        <v>23</v>
      </c>
      <c r="E968" s="4" t="s">
        <v>24</v>
      </c>
      <c r="F968" s="4">
        <v>3</v>
      </c>
      <c r="G968" s="4">
        <v>250</v>
      </c>
      <c r="H968" s="4">
        <v>750</v>
      </c>
      <c r="I968" s="4">
        <v>588.41</v>
      </c>
      <c r="J968" s="4">
        <v>161.59</v>
      </c>
      <c r="K968" s="7" t="s">
        <v>14</v>
      </c>
    </row>
    <row r="969" spans="1:11" x14ac:dyDescent="0.25">
      <c r="A969" s="6">
        <v>1968</v>
      </c>
      <c r="B969" s="5">
        <v>45973</v>
      </c>
      <c r="C969" s="4" t="s">
        <v>30</v>
      </c>
      <c r="D969" s="4" t="s">
        <v>23</v>
      </c>
      <c r="E969" s="4" t="s">
        <v>24</v>
      </c>
      <c r="F969" s="4">
        <v>4</v>
      </c>
      <c r="G969" s="4">
        <v>1200</v>
      </c>
      <c r="H969" s="4">
        <v>4800</v>
      </c>
      <c r="I969" s="4">
        <v>3062.32</v>
      </c>
      <c r="J969" s="4">
        <v>1737.68</v>
      </c>
      <c r="K969" s="7" t="s">
        <v>18</v>
      </c>
    </row>
    <row r="970" spans="1:11" x14ac:dyDescent="0.25">
      <c r="A970" s="6">
        <v>1969</v>
      </c>
      <c r="B970" s="5">
        <v>45672</v>
      </c>
      <c r="C970" s="4" t="s">
        <v>30</v>
      </c>
      <c r="D970" s="4" t="s">
        <v>16</v>
      </c>
      <c r="E970" s="4" t="s">
        <v>17</v>
      </c>
      <c r="F970" s="4">
        <v>1</v>
      </c>
      <c r="G970" s="4">
        <v>2500</v>
      </c>
      <c r="H970" s="4">
        <v>2500</v>
      </c>
      <c r="I970" s="4">
        <v>1528.9</v>
      </c>
      <c r="J970" s="4">
        <v>971.1</v>
      </c>
      <c r="K970" s="7" t="s">
        <v>29</v>
      </c>
    </row>
    <row r="971" spans="1:11" x14ac:dyDescent="0.25">
      <c r="A971" s="6">
        <v>1970</v>
      </c>
      <c r="B971" s="5">
        <v>45954</v>
      </c>
      <c r="C971" s="4" t="s">
        <v>32</v>
      </c>
      <c r="D971" s="4" t="s">
        <v>16</v>
      </c>
      <c r="E971" s="4" t="s">
        <v>20</v>
      </c>
      <c r="F971" s="4">
        <v>4</v>
      </c>
      <c r="G971" s="4">
        <v>5000</v>
      </c>
      <c r="H971" s="4">
        <v>20000</v>
      </c>
      <c r="I971" s="4">
        <v>14113.75</v>
      </c>
      <c r="J971" s="4">
        <v>5886.25</v>
      </c>
      <c r="K971" s="7" t="s">
        <v>21</v>
      </c>
    </row>
    <row r="972" spans="1:11" x14ac:dyDescent="0.25">
      <c r="A972" s="6">
        <v>1971</v>
      </c>
      <c r="B972" s="5">
        <v>45824</v>
      </c>
      <c r="C972" s="4" t="s">
        <v>11</v>
      </c>
      <c r="D972" s="4" t="s">
        <v>16</v>
      </c>
      <c r="E972" s="4" t="s">
        <v>17</v>
      </c>
      <c r="F972" s="4">
        <v>6</v>
      </c>
      <c r="G972" s="4">
        <v>250</v>
      </c>
      <c r="H972" s="4">
        <v>1500</v>
      </c>
      <c r="I972" s="4">
        <v>1233.96</v>
      </c>
      <c r="J972" s="4">
        <v>266.04000000000002</v>
      </c>
      <c r="K972" s="7" t="s">
        <v>18</v>
      </c>
    </row>
    <row r="973" spans="1:11" x14ac:dyDescent="0.25">
      <c r="A973" s="6">
        <v>1972</v>
      </c>
      <c r="B973" s="5">
        <v>45770</v>
      </c>
      <c r="C973" s="4" t="s">
        <v>15</v>
      </c>
      <c r="D973" s="4" t="s">
        <v>16</v>
      </c>
      <c r="E973" s="4" t="s">
        <v>17</v>
      </c>
      <c r="F973" s="4">
        <v>7</v>
      </c>
      <c r="G973" s="4">
        <v>12000</v>
      </c>
      <c r="H973" s="4">
        <v>84000</v>
      </c>
      <c r="I973" s="4">
        <v>52078.7</v>
      </c>
      <c r="J973" s="4">
        <v>31921.3</v>
      </c>
      <c r="K973" s="7" t="s">
        <v>21</v>
      </c>
    </row>
    <row r="974" spans="1:11" x14ac:dyDescent="0.25">
      <c r="A974" s="6">
        <v>1973</v>
      </c>
      <c r="B974" s="5">
        <v>45970</v>
      </c>
      <c r="C974" s="4" t="s">
        <v>30</v>
      </c>
      <c r="D974" s="4" t="s">
        <v>12</v>
      </c>
      <c r="E974" s="4" t="s">
        <v>33</v>
      </c>
      <c r="F974" s="4">
        <v>1</v>
      </c>
      <c r="G974" s="4">
        <v>1200</v>
      </c>
      <c r="H974" s="4">
        <v>1200</v>
      </c>
      <c r="I974" s="4">
        <v>720.88</v>
      </c>
      <c r="J974" s="4">
        <v>479.12</v>
      </c>
      <c r="K974" s="7" t="s">
        <v>28</v>
      </c>
    </row>
    <row r="975" spans="1:11" x14ac:dyDescent="0.25">
      <c r="A975" s="6">
        <v>1974</v>
      </c>
      <c r="B975" s="5">
        <v>45981</v>
      </c>
      <c r="C975" s="4" t="s">
        <v>32</v>
      </c>
      <c r="D975" s="4" t="s">
        <v>23</v>
      </c>
      <c r="E975" s="4" t="s">
        <v>24</v>
      </c>
      <c r="F975" s="4">
        <v>3</v>
      </c>
      <c r="G975" s="4">
        <v>1200</v>
      </c>
      <c r="H975" s="4">
        <v>3600</v>
      </c>
      <c r="I975" s="4">
        <v>2886.97</v>
      </c>
      <c r="J975" s="4">
        <v>713.03</v>
      </c>
      <c r="K975" s="7" t="s">
        <v>27</v>
      </c>
    </row>
    <row r="976" spans="1:11" x14ac:dyDescent="0.25">
      <c r="A976" s="6">
        <v>1975</v>
      </c>
      <c r="B976" s="5">
        <v>45688</v>
      </c>
      <c r="C976" s="4" t="s">
        <v>32</v>
      </c>
      <c r="D976" s="4" t="s">
        <v>16</v>
      </c>
      <c r="E976" s="4" t="s">
        <v>22</v>
      </c>
      <c r="F976" s="4">
        <v>3</v>
      </c>
      <c r="G976" s="4">
        <v>150</v>
      </c>
      <c r="H976" s="4">
        <v>450</v>
      </c>
      <c r="I976" s="4">
        <v>356.52</v>
      </c>
      <c r="J976" s="4">
        <v>93.48</v>
      </c>
      <c r="K976" s="7" t="s">
        <v>28</v>
      </c>
    </row>
    <row r="977" spans="1:11" x14ac:dyDescent="0.25">
      <c r="A977" s="6">
        <v>1976</v>
      </c>
      <c r="B977" s="5">
        <v>45833</v>
      </c>
      <c r="C977" s="4" t="s">
        <v>11</v>
      </c>
      <c r="D977" s="4" t="s">
        <v>16</v>
      </c>
      <c r="E977" s="4" t="s">
        <v>22</v>
      </c>
      <c r="F977" s="4">
        <v>8</v>
      </c>
      <c r="G977" s="4">
        <v>1200</v>
      </c>
      <c r="H977" s="4">
        <v>9600</v>
      </c>
      <c r="I977" s="4">
        <v>5855.24</v>
      </c>
      <c r="J977" s="4">
        <v>3744.76</v>
      </c>
      <c r="K977" s="7" t="s">
        <v>27</v>
      </c>
    </row>
    <row r="978" spans="1:11" x14ac:dyDescent="0.25">
      <c r="A978" s="6">
        <v>1977</v>
      </c>
      <c r="B978" s="5">
        <v>45941</v>
      </c>
      <c r="C978" s="4" t="s">
        <v>11</v>
      </c>
      <c r="D978" s="4" t="s">
        <v>12</v>
      </c>
      <c r="E978" s="4" t="s">
        <v>13</v>
      </c>
      <c r="F978" s="4">
        <v>10</v>
      </c>
      <c r="G978" s="4">
        <v>250</v>
      </c>
      <c r="H978" s="4">
        <v>2500</v>
      </c>
      <c r="I978" s="4">
        <v>1880.86</v>
      </c>
      <c r="J978" s="4">
        <v>619.14</v>
      </c>
      <c r="K978" s="7" t="s">
        <v>18</v>
      </c>
    </row>
    <row r="979" spans="1:11" x14ac:dyDescent="0.25">
      <c r="A979" s="6">
        <v>1978</v>
      </c>
      <c r="B979" s="5">
        <v>45960</v>
      </c>
      <c r="C979" s="4" t="s">
        <v>30</v>
      </c>
      <c r="D979" s="4" t="s">
        <v>23</v>
      </c>
      <c r="E979" s="4" t="s">
        <v>26</v>
      </c>
      <c r="F979" s="4">
        <v>8</v>
      </c>
      <c r="G979" s="4">
        <v>12000</v>
      </c>
      <c r="H979" s="4">
        <v>96000</v>
      </c>
      <c r="I979" s="4">
        <v>86254.32</v>
      </c>
      <c r="J979" s="4">
        <v>9745.68</v>
      </c>
      <c r="K979" s="7" t="s">
        <v>21</v>
      </c>
    </row>
    <row r="980" spans="1:11" x14ac:dyDescent="0.25">
      <c r="A980" s="6">
        <v>1979</v>
      </c>
      <c r="B980" s="5">
        <v>45784</v>
      </c>
      <c r="C980" s="4" t="s">
        <v>32</v>
      </c>
      <c r="D980" s="4" t="s">
        <v>23</v>
      </c>
      <c r="E980" s="4" t="s">
        <v>25</v>
      </c>
      <c r="F980" s="4">
        <v>7</v>
      </c>
      <c r="G980" s="4">
        <v>5000</v>
      </c>
      <c r="H980" s="4">
        <v>35000</v>
      </c>
      <c r="I980" s="4">
        <v>29939.33</v>
      </c>
      <c r="J980" s="4">
        <v>5060.67</v>
      </c>
      <c r="K980" s="7" t="s">
        <v>21</v>
      </c>
    </row>
    <row r="981" spans="1:11" x14ac:dyDescent="0.25">
      <c r="A981" s="6">
        <v>1980</v>
      </c>
      <c r="B981" s="5">
        <v>45660</v>
      </c>
      <c r="C981" s="4" t="s">
        <v>30</v>
      </c>
      <c r="D981" s="4" t="s">
        <v>12</v>
      </c>
      <c r="E981" s="4" t="s">
        <v>13</v>
      </c>
      <c r="F981" s="4">
        <v>10</v>
      </c>
      <c r="G981" s="4">
        <v>250</v>
      </c>
      <c r="H981" s="4">
        <v>2500</v>
      </c>
      <c r="I981" s="4">
        <v>2174.54</v>
      </c>
      <c r="J981" s="4">
        <v>325.45999999999998</v>
      </c>
      <c r="K981" s="7" t="s">
        <v>18</v>
      </c>
    </row>
    <row r="982" spans="1:11" x14ac:dyDescent="0.25">
      <c r="A982" s="6">
        <v>1981</v>
      </c>
      <c r="B982" s="5">
        <v>45859</v>
      </c>
      <c r="C982" s="4" t="s">
        <v>30</v>
      </c>
      <c r="D982" s="4" t="s">
        <v>16</v>
      </c>
      <c r="E982" s="4" t="s">
        <v>22</v>
      </c>
      <c r="F982" s="4">
        <v>9</v>
      </c>
      <c r="G982" s="4">
        <v>150</v>
      </c>
      <c r="H982" s="4">
        <v>1350</v>
      </c>
      <c r="I982" s="4">
        <v>943.64</v>
      </c>
      <c r="J982" s="4">
        <v>406.36</v>
      </c>
      <c r="K982" s="7" t="s">
        <v>14</v>
      </c>
    </row>
    <row r="983" spans="1:11" x14ac:dyDescent="0.25">
      <c r="A983" s="6">
        <v>1982</v>
      </c>
      <c r="B983" s="5">
        <v>45664</v>
      </c>
      <c r="C983" s="4" t="s">
        <v>30</v>
      </c>
      <c r="D983" s="4" t="s">
        <v>16</v>
      </c>
      <c r="E983" s="4" t="s">
        <v>22</v>
      </c>
      <c r="F983" s="4">
        <v>8</v>
      </c>
      <c r="G983" s="4">
        <v>250</v>
      </c>
      <c r="H983" s="4">
        <v>2000</v>
      </c>
      <c r="I983" s="4">
        <v>1158.1600000000001</v>
      </c>
      <c r="J983" s="4">
        <v>841.84</v>
      </c>
      <c r="K983" s="7" t="s">
        <v>28</v>
      </c>
    </row>
    <row r="984" spans="1:11" x14ac:dyDescent="0.25">
      <c r="A984" s="6">
        <v>1983</v>
      </c>
      <c r="B984" s="5">
        <v>45704</v>
      </c>
      <c r="C984" s="4" t="s">
        <v>15</v>
      </c>
      <c r="D984" s="4" t="s">
        <v>16</v>
      </c>
      <c r="E984" s="4" t="s">
        <v>22</v>
      </c>
      <c r="F984" s="4">
        <v>5</v>
      </c>
      <c r="G984" s="4">
        <v>250</v>
      </c>
      <c r="H984" s="4">
        <v>1250</v>
      </c>
      <c r="I984" s="4">
        <v>970.84</v>
      </c>
      <c r="J984" s="4">
        <v>279.16000000000003</v>
      </c>
      <c r="K984" s="7" t="s">
        <v>21</v>
      </c>
    </row>
    <row r="985" spans="1:11" x14ac:dyDescent="0.25">
      <c r="A985" s="6">
        <v>1984</v>
      </c>
      <c r="B985" s="5">
        <v>45950</v>
      </c>
      <c r="C985" s="4" t="s">
        <v>19</v>
      </c>
      <c r="D985" s="4" t="s">
        <v>12</v>
      </c>
      <c r="E985" s="4" t="s">
        <v>33</v>
      </c>
      <c r="F985" s="4">
        <v>3</v>
      </c>
      <c r="G985" s="4">
        <v>5000</v>
      </c>
      <c r="H985" s="4">
        <v>15000</v>
      </c>
      <c r="I985" s="4">
        <v>10661.23</v>
      </c>
      <c r="J985" s="4">
        <v>4338.7700000000004</v>
      </c>
      <c r="K985" s="7" t="s">
        <v>18</v>
      </c>
    </row>
    <row r="986" spans="1:11" x14ac:dyDescent="0.25">
      <c r="A986" s="6">
        <v>1985</v>
      </c>
      <c r="B986" s="5">
        <v>45752</v>
      </c>
      <c r="C986" s="4" t="s">
        <v>32</v>
      </c>
      <c r="D986" s="4" t="s">
        <v>23</v>
      </c>
      <c r="E986" s="4" t="s">
        <v>24</v>
      </c>
      <c r="F986" s="4">
        <v>3</v>
      </c>
      <c r="G986" s="4">
        <v>12000</v>
      </c>
      <c r="H986" s="4">
        <v>36000</v>
      </c>
      <c r="I986" s="4">
        <v>28659.5</v>
      </c>
      <c r="J986" s="4">
        <v>7340.5</v>
      </c>
      <c r="K986" s="7" t="s">
        <v>14</v>
      </c>
    </row>
    <row r="987" spans="1:11" x14ac:dyDescent="0.25">
      <c r="A987" s="6">
        <v>1986</v>
      </c>
      <c r="B987" s="5">
        <v>45855</v>
      </c>
      <c r="C987" s="4" t="s">
        <v>32</v>
      </c>
      <c r="D987" s="4" t="s">
        <v>23</v>
      </c>
      <c r="E987" s="4" t="s">
        <v>26</v>
      </c>
      <c r="F987" s="4">
        <v>1</v>
      </c>
      <c r="G987" s="4">
        <v>12000</v>
      </c>
      <c r="H987" s="4">
        <v>12000</v>
      </c>
      <c r="I987" s="4">
        <v>9234.68</v>
      </c>
      <c r="J987" s="4">
        <v>2765.32</v>
      </c>
      <c r="K987" s="7" t="s">
        <v>29</v>
      </c>
    </row>
    <row r="988" spans="1:11" x14ac:dyDescent="0.25">
      <c r="A988" s="6">
        <v>1987</v>
      </c>
      <c r="B988" s="5">
        <v>45971</v>
      </c>
      <c r="C988" s="4" t="s">
        <v>19</v>
      </c>
      <c r="D988" s="4" t="s">
        <v>16</v>
      </c>
      <c r="E988" s="4" t="s">
        <v>22</v>
      </c>
      <c r="F988" s="4">
        <v>7</v>
      </c>
      <c r="G988" s="4">
        <v>12000</v>
      </c>
      <c r="H988" s="4">
        <v>84000</v>
      </c>
      <c r="I988" s="4">
        <v>54131.81</v>
      </c>
      <c r="J988" s="4">
        <v>29868.19</v>
      </c>
      <c r="K988" s="7" t="s">
        <v>29</v>
      </c>
    </row>
    <row r="989" spans="1:11" x14ac:dyDescent="0.25">
      <c r="A989" s="6">
        <v>1988</v>
      </c>
      <c r="B989" s="5">
        <v>45686</v>
      </c>
      <c r="C989" s="4" t="s">
        <v>19</v>
      </c>
      <c r="D989" s="4" t="s">
        <v>16</v>
      </c>
      <c r="E989" s="4" t="s">
        <v>17</v>
      </c>
      <c r="F989" s="4">
        <v>2</v>
      </c>
      <c r="G989" s="4">
        <v>2500</v>
      </c>
      <c r="H989" s="4">
        <v>5000</v>
      </c>
      <c r="I989" s="4">
        <v>4291.4799999999996</v>
      </c>
      <c r="J989" s="4">
        <v>708.52</v>
      </c>
      <c r="K989" s="7" t="s">
        <v>14</v>
      </c>
    </row>
    <row r="990" spans="1:11" x14ac:dyDescent="0.25">
      <c r="A990" s="6">
        <v>1989</v>
      </c>
      <c r="B990" s="5">
        <v>45974</v>
      </c>
      <c r="C990" s="4" t="s">
        <v>15</v>
      </c>
      <c r="D990" s="4" t="s">
        <v>23</v>
      </c>
      <c r="E990" s="4" t="s">
        <v>25</v>
      </c>
      <c r="F990" s="4">
        <v>2</v>
      </c>
      <c r="G990" s="4">
        <v>1200</v>
      </c>
      <c r="H990" s="4">
        <v>2400</v>
      </c>
      <c r="I990" s="4">
        <v>1627.1</v>
      </c>
      <c r="J990" s="4">
        <v>772.9</v>
      </c>
      <c r="K990" s="7" t="s">
        <v>27</v>
      </c>
    </row>
    <row r="991" spans="1:11" x14ac:dyDescent="0.25">
      <c r="A991" s="6">
        <v>1990</v>
      </c>
      <c r="B991" s="5">
        <v>46021</v>
      </c>
      <c r="C991" s="4" t="s">
        <v>11</v>
      </c>
      <c r="D991" s="4" t="s">
        <v>23</v>
      </c>
      <c r="E991" s="4" t="s">
        <v>25</v>
      </c>
      <c r="F991" s="4">
        <v>9</v>
      </c>
      <c r="G991" s="4">
        <v>5000</v>
      </c>
      <c r="H991" s="4">
        <v>45000</v>
      </c>
      <c r="I991" s="4">
        <v>25805.34</v>
      </c>
      <c r="J991" s="4">
        <v>19194.66</v>
      </c>
      <c r="K991" s="7" t="s">
        <v>28</v>
      </c>
    </row>
    <row r="992" spans="1:11" x14ac:dyDescent="0.25">
      <c r="A992" s="6">
        <v>1991</v>
      </c>
      <c r="B992" s="5">
        <v>45955</v>
      </c>
      <c r="C992" s="4" t="s">
        <v>11</v>
      </c>
      <c r="D992" s="4" t="s">
        <v>23</v>
      </c>
      <c r="E992" s="4" t="s">
        <v>25</v>
      </c>
      <c r="F992" s="4">
        <v>9</v>
      </c>
      <c r="G992" s="4">
        <v>150</v>
      </c>
      <c r="H992" s="4">
        <v>1350</v>
      </c>
      <c r="I992" s="4">
        <v>1049.17</v>
      </c>
      <c r="J992" s="4">
        <v>300.83</v>
      </c>
      <c r="K992" s="7" t="s">
        <v>14</v>
      </c>
    </row>
    <row r="993" spans="1:11" x14ac:dyDescent="0.25">
      <c r="A993" s="6">
        <v>1992</v>
      </c>
      <c r="B993" s="5">
        <v>45874</v>
      </c>
      <c r="C993" s="4" t="s">
        <v>32</v>
      </c>
      <c r="D993" s="4" t="s">
        <v>16</v>
      </c>
      <c r="E993" s="4" t="s">
        <v>22</v>
      </c>
      <c r="F993" s="4">
        <v>6</v>
      </c>
      <c r="G993" s="4">
        <v>500</v>
      </c>
      <c r="H993" s="4">
        <v>3000</v>
      </c>
      <c r="I993" s="4">
        <v>2178.7399999999998</v>
      </c>
      <c r="J993" s="4">
        <v>821.26</v>
      </c>
      <c r="K993" s="7" t="s">
        <v>18</v>
      </c>
    </row>
    <row r="994" spans="1:11" x14ac:dyDescent="0.25">
      <c r="A994" s="6">
        <v>1993</v>
      </c>
      <c r="B994" s="5">
        <v>45927</v>
      </c>
      <c r="C994" s="4" t="s">
        <v>15</v>
      </c>
      <c r="D994" s="4" t="s">
        <v>16</v>
      </c>
      <c r="E994" s="4" t="s">
        <v>22</v>
      </c>
      <c r="F994" s="4">
        <v>6</v>
      </c>
      <c r="G994" s="4">
        <v>1200</v>
      </c>
      <c r="H994" s="4">
        <v>7200</v>
      </c>
      <c r="I994" s="4">
        <v>5185.29</v>
      </c>
      <c r="J994" s="4">
        <v>2014.71</v>
      </c>
      <c r="K994" s="7" t="s">
        <v>21</v>
      </c>
    </row>
    <row r="995" spans="1:11" x14ac:dyDescent="0.25">
      <c r="A995" s="6">
        <v>1994</v>
      </c>
      <c r="B995" s="5">
        <v>45846</v>
      </c>
      <c r="C995" s="4" t="s">
        <v>15</v>
      </c>
      <c r="D995" s="4" t="s">
        <v>12</v>
      </c>
      <c r="E995" s="4" t="s">
        <v>31</v>
      </c>
      <c r="F995" s="4">
        <v>9</v>
      </c>
      <c r="G995" s="4">
        <v>500</v>
      </c>
      <c r="H995" s="4">
        <v>4500</v>
      </c>
      <c r="I995" s="4">
        <v>3186.87</v>
      </c>
      <c r="J995" s="4">
        <v>1313.13</v>
      </c>
      <c r="K995" s="7" t="s">
        <v>28</v>
      </c>
    </row>
    <row r="996" spans="1:11" x14ac:dyDescent="0.25">
      <c r="A996" s="6">
        <v>1995</v>
      </c>
      <c r="B996" s="5">
        <v>45805</v>
      </c>
      <c r="C996" s="4" t="s">
        <v>15</v>
      </c>
      <c r="D996" s="4" t="s">
        <v>23</v>
      </c>
      <c r="E996" s="4" t="s">
        <v>25</v>
      </c>
      <c r="F996" s="4">
        <v>2</v>
      </c>
      <c r="G996" s="4">
        <v>1200</v>
      </c>
      <c r="H996" s="4">
        <v>2400</v>
      </c>
      <c r="I996" s="4">
        <v>2074.27</v>
      </c>
      <c r="J996" s="4">
        <v>325.73</v>
      </c>
      <c r="K996" s="7" t="s">
        <v>18</v>
      </c>
    </row>
    <row r="997" spans="1:11" x14ac:dyDescent="0.25">
      <c r="A997" s="6">
        <v>1996</v>
      </c>
      <c r="B997" s="5">
        <v>45735</v>
      </c>
      <c r="C997" s="4" t="s">
        <v>11</v>
      </c>
      <c r="D997" s="4" t="s">
        <v>16</v>
      </c>
      <c r="E997" s="4" t="s">
        <v>22</v>
      </c>
      <c r="F997" s="4">
        <v>2</v>
      </c>
      <c r="G997" s="4">
        <v>5000</v>
      </c>
      <c r="H997" s="4">
        <v>10000</v>
      </c>
      <c r="I997" s="4">
        <v>6017.84</v>
      </c>
      <c r="J997" s="4">
        <v>3982.16</v>
      </c>
      <c r="K997" s="7" t="s">
        <v>29</v>
      </c>
    </row>
    <row r="998" spans="1:11" x14ac:dyDescent="0.25">
      <c r="A998" s="6">
        <v>1997</v>
      </c>
      <c r="B998" s="5">
        <v>45935</v>
      </c>
      <c r="C998" s="4" t="s">
        <v>11</v>
      </c>
      <c r="D998" s="4" t="s">
        <v>12</v>
      </c>
      <c r="E998" s="4" t="s">
        <v>13</v>
      </c>
      <c r="F998" s="4">
        <v>5</v>
      </c>
      <c r="G998" s="4">
        <v>1200</v>
      </c>
      <c r="H998" s="4">
        <v>6000</v>
      </c>
      <c r="I998" s="4">
        <v>5336.11</v>
      </c>
      <c r="J998" s="4">
        <v>663.89</v>
      </c>
      <c r="K998" s="7" t="s">
        <v>21</v>
      </c>
    </row>
    <row r="999" spans="1:11" x14ac:dyDescent="0.25">
      <c r="A999" s="6">
        <v>1998</v>
      </c>
      <c r="B999" s="5">
        <v>45807</v>
      </c>
      <c r="C999" s="4" t="s">
        <v>11</v>
      </c>
      <c r="D999" s="4" t="s">
        <v>23</v>
      </c>
      <c r="E999" s="4" t="s">
        <v>24</v>
      </c>
      <c r="F999" s="4">
        <v>8</v>
      </c>
      <c r="G999" s="4">
        <v>5000</v>
      </c>
      <c r="H999" s="4">
        <v>40000</v>
      </c>
      <c r="I999" s="4">
        <v>31025.58</v>
      </c>
      <c r="J999" s="4">
        <v>8974.42</v>
      </c>
      <c r="K999" s="7" t="s">
        <v>18</v>
      </c>
    </row>
    <row r="1000" spans="1:11" x14ac:dyDescent="0.25">
      <c r="A1000" s="6">
        <v>1999</v>
      </c>
      <c r="B1000" s="5">
        <v>45954</v>
      </c>
      <c r="C1000" s="4" t="s">
        <v>32</v>
      </c>
      <c r="D1000" s="4" t="s">
        <v>16</v>
      </c>
      <c r="E1000" s="4" t="s">
        <v>20</v>
      </c>
      <c r="F1000" s="4">
        <v>9</v>
      </c>
      <c r="G1000" s="4">
        <v>5000</v>
      </c>
      <c r="H1000" s="4">
        <v>45000</v>
      </c>
      <c r="I1000" s="4">
        <v>30040.07</v>
      </c>
      <c r="J1000" s="4">
        <v>14959.93</v>
      </c>
      <c r="K1000" s="7" t="s">
        <v>14</v>
      </c>
    </row>
    <row r="1001" spans="1:11" x14ac:dyDescent="0.25">
      <c r="A1001" s="11">
        <v>2000</v>
      </c>
      <c r="B1001" s="12">
        <v>45929</v>
      </c>
      <c r="C1001" s="13" t="s">
        <v>19</v>
      </c>
      <c r="D1001" s="13" t="s">
        <v>12</v>
      </c>
      <c r="E1001" s="13" t="s">
        <v>33</v>
      </c>
      <c r="F1001" s="13">
        <v>8</v>
      </c>
      <c r="G1001" s="13">
        <v>2500</v>
      </c>
      <c r="H1001" s="13">
        <v>20000</v>
      </c>
      <c r="I1001" s="13">
        <v>15660.99</v>
      </c>
      <c r="J1001" s="13">
        <v>4339.01</v>
      </c>
      <c r="K1001" s="14" t="s">
        <v>21</v>
      </c>
    </row>
    <row r="1002" spans="1:11" x14ac:dyDescent="0.25">
      <c r="A1002" s="11"/>
      <c r="B1002" s="12"/>
      <c r="C1002" s="13"/>
      <c r="D1002" s="13"/>
      <c r="E1002" s="13"/>
      <c r="F1002" s="13">
        <f>SUM(Table1[Quantity])</f>
        <v>5586</v>
      </c>
      <c r="G1002" s="13"/>
      <c r="H1002" s="22">
        <f>SUM(Table1[Sales])</f>
        <v>18238150</v>
      </c>
      <c r="I1002" s="13"/>
      <c r="J1002" s="22">
        <f>SUM(Table1[Profit])</f>
        <v>5217291.73999999</v>
      </c>
      <c r="K1002" s="14"/>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PT_SALES _REGION</vt:lpstr>
      <vt:lpstr>PT_PROFIT_REGION</vt:lpstr>
      <vt:lpstr>PT_SALES_CATEGORY</vt:lpstr>
      <vt:lpstr>PT_PROFIT_CATEGORY </vt:lpstr>
      <vt:lpstr>PT_SALES_PRODUCT</vt:lpstr>
      <vt:lpstr>PT_SALES_SALESPERSON</vt:lpstr>
      <vt:lpstr>MONTHLY SALES TREND</vt:lpstr>
      <vt:lpstr>DASHBOARD</vt:lpstr>
      <vt:lpstr>PROJECT SUMMARY</vt:lpstr>
      <vt:lpstr>RetailSales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MAUNDU</cp:lastModifiedBy>
  <dcterms:created xsi:type="dcterms:W3CDTF">2026-07-14T13:20:58Z</dcterms:created>
  <dcterms:modified xsi:type="dcterms:W3CDTF">2026-08-01T07:22:09Z</dcterms:modified>
</cp:coreProperties>
</file>